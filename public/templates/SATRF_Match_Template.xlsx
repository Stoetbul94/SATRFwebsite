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ne 50m" sheetId="2" state="visible" r:id="rId4"/>
    <sheet name="F-Class" sheetId="3" state="visible" r:id="rId5"/>
    <sheet name="3-Position 50m" sheetId="4" state="visible" r:id="rId6"/>
    <sheet name="Prone Final" sheetId="5" state="visible" r:id="rId7"/>
    <sheet name="3P Final" sheetId="6" state="visible" r:id="rId8"/>
    <sheet name="Members" sheetId="7" state="visible" r:id="rId9"/>
    <sheet name="Lookups" sheetId="8" state="visible" r:id="rId10"/>
    <sheet name="Dates" sheetId="9" state="hidden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<sst xmlns="http://schemas.openxmlformats.org/spreadsheetml/2006/main" count="234" uniqueCount="152">
  <si>
    <t xml:space="preserve">SATRF Score Import — How to use this workbook</t>
  </si>
  <si>
    <t xml:space="preserve">UPLOAD TEMPLATE — fill in the scores for ONE match and upload to the SATRF site. Members, events, rankings, records &amp; season stats are handled on the website, not in this file.</t>
  </si>
  <si>
    <t xml:space="preserve">Colour key</t>
  </si>
  <si>
    <t xml:space="preserve">Blue/peach cells = you type here. Grey cells = calculated automatically (do not edit).</t>
  </si>
  <si>
    <t xml:space="preserve">Tabs</t>
  </si>
  <si>
    <t xml:space="preserve">Prone 50m · F-Class · 3-Position 50m · Prone Final · 3P Final — fill only the sheets relevant to this match.</t>
  </si>
  <si>
    <t xml:space="preserve">One row</t>
  </si>
  <si>
    <t xml:space="preserve">One row per shooter per match. Add as many rows as you need (formatting extends to row 100).</t>
  </si>
  <si>
    <t xml:space="preserve">Members tab</t>
  </si>
  <si>
    <t xml:space="preserve">Add/maintain your shooters there. Their names appear in the Shooter dropdown. Guests can be typed freely.</t>
  </si>
  <si>
    <t xml:space="preserve">Date</t>
  </si>
  <si>
    <t xml:space="preserve">Enter as YYYY-MM-DD (e.g. 2026-05-09). Excel date cells also work.</t>
  </si>
  <si>
    <t xml:space="preserve">Dropdowns</t>
  </si>
  <si>
    <t xml:space="preserve">Discipline, Shooter, Club, Category and Status are dropdowns. Pick from the list (or free-type a guest).</t>
  </si>
  <si>
    <t xml:space="preserve">Prone &amp; F-Class</t>
  </si>
  <si>
    <t xml:space="preserve">6 series × 10 shots. Enter the decimal series total (e.g. 100.7). Integer ring totals are optional.</t>
  </si>
  <si>
    <t xml:space="preserve">F-Class note</t>
  </si>
  <si>
    <t xml:space="preserve">Scored like ISSF: 2 diagrams of 5 = a 10-shot series, 6 series, total /600. Just enter the series total.</t>
  </si>
  <si>
    <t xml:space="preserve">3-Position</t>
  </si>
  <si>
    <t xml:space="preserve">Enter one total per position: Kneeling, Prone, Standing (20 shots each, 60 total). Decimals and/or integers.</t>
  </si>
  <si>
    <t xml:space="preserve">Decimal max</t>
  </si>
  <si>
    <t xml:space="preserve">Decimal max flags impossible values: 109.0 per 10-shot series (Prone/F-Class); 218.0 per 20-shot 3P position.</t>
  </si>
  <si>
    <t xml:space="preserve">Totals</t>
  </si>
  <si>
    <t xml:space="preserve">The Total columns are auto-summed for your own sanity check. The website recalculates on import.</t>
  </si>
  <si>
    <t xml:space="preserve">Status</t>
  </si>
  <si>
    <t xml:space="preserve">official (default) or provisional for incomplete/training scores.</t>
  </si>
  <si>
    <t xml:space="preserve">Electronic vs paper</t>
  </si>
  <si>
    <t xml:space="preserve">From an electronic PDF: copy each series/position decimal. From paper: enter the hand-tallied totals.</t>
  </si>
  <si>
    <t xml:space="preserve">Date (YYYY-MM-DD)</t>
  </si>
  <si>
    <t xml:space="preserve">Event Name</t>
  </si>
  <si>
    <t xml:space="preserve">Discipline</t>
  </si>
  <si>
    <t xml:space="preserve">Shooter Name</t>
  </si>
  <si>
    <t xml:space="preserve">Club</t>
  </si>
  <si>
    <t xml:space="preserve">Category</t>
  </si>
  <si>
    <t xml:space="preserve">S1 Dec</t>
  </si>
  <si>
    <t xml:space="preserve">S2 Dec</t>
  </si>
  <si>
    <t xml:space="preserve">S3 Dec</t>
  </si>
  <si>
    <t xml:space="preserve">S4 Dec</t>
  </si>
  <si>
    <t xml:space="preserve">S5 Dec</t>
  </si>
  <si>
    <t xml:space="preserve">S6 Dec</t>
  </si>
  <si>
    <t xml:space="preserve">S1 Int</t>
  </si>
  <si>
    <t xml:space="preserve">S2 Int</t>
  </si>
  <si>
    <t xml:space="preserve">S3 Int</t>
  </si>
  <si>
    <t xml:space="preserve">S4 Int</t>
  </si>
  <si>
    <t xml:space="preserve">S5 Int</t>
  </si>
  <si>
    <t xml:space="preserve">S6 Int</t>
  </si>
  <si>
    <t xml:space="preserve">Total Dec</t>
  </si>
  <si>
    <t xml:space="preserve">Total Int</t>
  </si>
  <si>
    <t xml:space="preserve">Notes</t>
  </si>
  <si>
    <t xml:space="preserve">Check</t>
  </si>
  <si>
    <t xml:space="preserve">2026-05-09</t>
  </si>
  <si>
    <t xml:space="preserve">50 Meter Rifle Prone</t>
  </si>
  <si>
    <t xml:space="preserve">prone_50m</t>
  </si>
  <si>
    <t xml:space="preserve">Arnold Prone</t>
  </si>
  <si>
    <t xml:space="preserve">official</t>
  </si>
  <si>
    <t xml:space="preserve">Example from electronic target — 60-shot match</t>
  </si>
  <si>
    <t xml:space="preserve">2026-06-10</t>
  </si>
  <si>
    <t xml:space="preserve">SATRF Nationals</t>
  </si>
  <si>
    <t xml:space="preserve">Jane Member</t>
  </si>
  <si>
    <t xml:space="preserve">2026-05-16</t>
  </si>
  <si>
    <t xml:space="preserve">Club F-Class 600</t>
  </si>
  <si>
    <t xml:space="preserve">fclass_open</t>
  </si>
  <si>
    <t xml:space="preserve">Pieter van Wyk</t>
  </si>
  <si>
    <t xml:space="preserve">Example — 6 series of 10 (2 diagrams of 5)</t>
  </si>
  <si>
    <t xml:space="preserve">Kneeling Dec</t>
  </si>
  <si>
    <t xml:space="preserve">Prone Dec</t>
  </si>
  <si>
    <t xml:space="preserve">Standing Dec</t>
  </si>
  <si>
    <t xml:space="preserve">Kneeling Int</t>
  </si>
  <si>
    <t xml:space="preserve">Prone Int</t>
  </si>
  <si>
    <t xml:space="preserve">Standing Int</t>
  </si>
  <si>
    <t xml:space="preserve">3P (club): 3 positions x 20 shots = 60 shots. Total /600 integer, /654 decimal. Enter one total per position. Caps: 218.0 dec / 200 int per position.</t>
  </si>
  <si>
    <t xml:space="preserve">2026-05-23</t>
  </si>
  <si>
    <t xml:space="preserve">3-Position Open</t>
  </si>
  <si>
    <t xml:space="preserve">three_position_50m</t>
  </si>
  <si>
    <t xml:space="preserve">Lerato Dlamini</t>
  </si>
  <si>
    <t xml:space="preserve">Example — one total per position (20 shots each, 60 total)</t>
  </si>
  <si>
    <t xml:space="preserve">Prone Final — fresh 60-shot match (start from zero)</t>
  </si>
  <si>
    <t xml:space="preserve">Top qualifiers shoot a NEW 60-shot match to decide medals. Qualification is NOT carried forward — this match stands alone. 6 series x 10 shots, decimal.</t>
  </si>
  <si>
    <t xml:space="preserve">Shooter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</si>
  <si>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</si>
  <si>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</si>
  <si>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</si>
  <si>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</si>
  <si>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</si>
  <si>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</si>
  <si>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Total</t>
  </si>
  <si>
    <t xml:space="preserve">Final Rank</t>
  </si>
  <si>
    <t xml:space="preserve">Final Rank = ranked by Total (highest wins). Decimal scoring, max 654.0. Start from zero — do not add qualification.</t>
  </si>
  <si>
    <t xml:space="preserve">3-Position Final — ISSF 35-shot elimination (10 Kneeling + 10 Prone + 2x5 Standing + 5 single Standing)</t>
  </si>
  <si>
    <t xml:space="preserve">Decimal, cumulative, start from zero. Kneeling+Prone fired in 22 min, then 2x5 standing. After 30 shots the 2 lowest are eliminated (8th,7th). Then single standing shots: after each, the lowest goes (6th after 31, 5th=32, 4th=33, bronze=34, gold/silver=35).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</si>
  <si>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</si>
  <si>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</si>
  <si>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</si>
  <si>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</si>
  <si>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</si>
  <si>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</si>
  <si>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K7</t>
  </si>
  <si>
    <t xml:space="preserve">K8</t>
  </si>
  <si>
    <t xml:space="preserve">K9</t>
  </si>
  <si>
    <t xml:space="preserve">K10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</si>
  <si>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</si>
  <si>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</si>
  <si>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</si>
  <si>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</si>
  <si>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</si>
  <si>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</si>
  <si>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</si>
  <si>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</si>
  <si>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</si>
  <si>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</si>
  <si>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S7</t>
  </si>
  <si>
    <t xml:space="preserve">S8</t>
  </si>
  <si>
    <t xml:space="preserve">S9</t>
  </si>
  <si>
    <t xml:space="preserve">S10</t>
  </si>
  <si>
    <t xml:space="preserve">After 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</si>
  <si>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</si>
  <si>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</si>
  <si>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</si>
  <si>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</si>
  <si>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</si>
  <si>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Elim@Shot</t>
  </si>
  <si>
    <t xml:space="preserve">Rank</t>
  </si>
  <si>
    <t xml:space="preserve">Elim@Shot: enter the shot number the finalist was eliminated on (30 for the two lowest after standing series; 31-35 for singles). Leave blank for the gold/silver pair who fired all 35. Rank auto-computes: survived longest ranks highest, ties by total. Position tint: green=kneeling, blue=prone, peach=standing.</t>
  </si>
  <si>
    <t xml:space="preserve">Default Category</t>
  </si>
  <si>
    <t xml:space="preserve">Maintain your member roster here. Names listed here appear in the Shooter dropdowns on the score tabs. Guests can still be typed in freely.</t>
  </si>
  <si>
    <t xml:space="preserve">Modderbee</t>
  </si>
  <si>
    <t xml:space="preserve">open</t>
  </si>
  <si>
    <t xml:space="preserve">SATRF Club</t>
  </si>
  <si>
    <t xml:space="preserve">ladies</t>
  </si>
  <si>
    <t xml:space="preserve">Pretoria RC</t>
  </si>
  <si>
    <t xml:space="preserve">Sarah Naidoo</t>
  </si>
  <si>
    <t xml:space="preserve">Johan Botha</t>
  </si>
  <si>
    <t xml:space="preserve">Bloem Marksmen</t>
  </si>
  <si>
    <t xml:space="preserve">veteran</t>
  </si>
  <si>
    <t xml:space="preserve">Thabo Mokoena</t>
  </si>
  <si>
    <t xml:space="preserve">junior</t>
  </si>
  <si>
    <t xml:space="preserve">Willem Pretorius</t>
  </si>
  <si>
    <t xml:space="preserve">Anita Smit</t>
  </si>
  <si>
    <t xml:space="preserve">Cape Rifle Club</t>
  </si>
  <si>
    <t xml:space="preserve">David Khumalo</t>
  </si>
  <si>
    <t xml:space="preserve">Riaan Steyn</t>
  </si>
  <si>
    <t xml:space="preserve">Mary Adams</t>
  </si>
  <si>
    <t xml:space="preserve">Sipho Ndlovu</t>
  </si>
  <si>
    <t xml:space="preserve">Hendrik Visser</t>
  </si>
  <si>
    <t xml:space="preserve">Karen Joubert</t>
  </si>
  <si>
    <t xml:space="preserve">Field</t>
  </si>
  <si>
    <t xml:space="preserve">Values</t>
  </si>
  <si>
    <t xml:space="preserve">prone_50m, fclass_open, fclass_tr, three_position_50m</t>
  </si>
  <si>
    <t xml:space="preserve">open, junior, veteran, ladies</t>
  </si>
  <si>
    <t xml:space="preserve">official, provisional</t>
  </si>
  <si>
    <t xml:space="preserve">Clubs</t>
  </si>
  <si>
    <t xml:space="preserve">Modderbee, SATRF Club, Pretoria RC, Bloem Marksmen, Cape Rifle Club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</si>
</sst>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548235"/>
        <bgColor rgb="FF339966"/>
      </patternFill>
    </fill>
    <fill>
      <patternFill patternType="solid">
        <fgColor rgb="FF2E5496"/>
        <bgColor rgb="FF2F5F5F"/>
      </patternFill>
    </fill>
    <fill>
      <patternFill patternType="solid">
        <fgColor rgb="FFBF8F00"/>
        <bgColor rgb="FFFF6600"/>
      </patternFill>
    </fill>
    <fill>
      <patternFill patternType="solid">
        <fgColor rgb="FF2F5F5F"/>
        <bgColor rgb="FF2E5496"/>
      </patternFill>
    </fill>
    <fill>
      <patternFill patternType="solid">
        <fgColor rgb="FFE2EFDA"/>
        <bgColor rgb="FFEDEDED"/>
      </patternFill>
    </fill>
    <fill>
      <patternFill patternType="solid">
        <fgColor rgb="FFFFFF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2F5F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</cols>
  <sheetData>
    <row r="1" customFormat="false" ht="24" hidden="false" customHeight="tru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  <c r="B2" s="3"/>
    </row>
    <row r="3" customFormat="false" ht="27.75" hidden="false" customHeight="true" outlineLevel="0" collapsed="false"/>
    <row r="4" customFormat="false" ht="27.75" hidden="false" customHeight="true" outlineLevel="0" collapsed="false">
      <c r="A4" s="4" t="s">
        <v>2</v>
      </c>
      <c r="B4" s="5" t="s">
        <v>3</v>
      </c>
    </row>
    <row r="5" customFormat="false" ht="27.75" hidden="false" customHeight="true" outlineLevel="0" collapsed="false">
      <c r="A5" s="4" t="s">
        <v>4</v>
      </c>
      <c r="B5" s="5" t="s">
        <v>5</v>
      </c>
    </row>
    <row r="6" customFormat="false" ht="27.75" hidden="false" customHeight="true" outlineLevel="0" collapsed="false">
      <c r="A6" s="4" t="s">
        <v>6</v>
      </c>
      <c r="B6" s="5" t="s">
        <v>7</v>
      </c>
    </row>
    <row r="7" customFormat="false" ht="27.75" hidden="false" customHeight="true" outlineLevel="0" collapsed="false">
      <c r="A7" s="4" t="s">
        <v>8</v>
      </c>
      <c r="B7" s="5" t="s">
        <v>9</v>
      </c>
    </row>
    <row r="8" customFormat="false" ht="27.75" hidden="false" customHeight="true" outlineLevel="0" collapsed="false">
      <c r="A8" s="4" t="s">
        <v>10</v>
      </c>
      <c r="B8" s="5" t="s">
        <v>11</v>
      </c>
    </row>
    <row r="9" customFormat="false" ht="27.75" hidden="false" customHeight="true" outlineLevel="0" collapsed="false">
      <c r="A9" s="4" t="s">
        <v>12</v>
      </c>
      <c r="B9" s="5" t="s">
        <v>13</v>
      </c>
    </row>
    <row r="10" customFormat="false" ht="27.75" hidden="false" customHeight="true" outlineLevel="0" collapsed="false">
      <c r="A10" s="4" t="s">
        <v>14</v>
      </c>
      <c r="B10" s="5" t="s">
        <v>15</v>
      </c>
    </row>
    <row r="11" customFormat="false" ht="27.75" hidden="false" customHeight="true" outlineLevel="0" collapsed="false">
      <c r="A11" s="4" t="s">
        <v>16</v>
      </c>
      <c r="B11" s="5" t="s">
        <v>17</v>
      </c>
    </row>
    <row r="12" customFormat="false" ht="27.75" hidden="false" customHeight="true" outlineLevel="0" collapsed="false">
      <c r="A12" s="4" t="s">
        <v>18</v>
      </c>
      <c r="B12" s="5" t="s">
        <v>19</v>
      </c>
    </row>
    <row r="13" customFormat="false" ht="27.75" hidden="false" customHeight="true" outlineLevel="0" collapsed="false">
      <c r="A13" s="4" t="s">
        <v>20</v>
      </c>
      <c r="B13" s="5" t="s">
        <v>21</v>
      </c>
    </row>
    <row r="14" customFormat="false" ht="27.75" hidden="false" customHeight="true" outlineLevel="0" collapsed="false">
      <c r="A14" s="4" t="s">
        <v>22</v>
      </c>
      <c r="B14" s="5" t="s">
        <v>23</v>
      </c>
    </row>
    <row r="15" customFormat="false" ht="27.75" hidden="false" customHeight="true" outlineLevel="0" collapsed="false">
      <c r="A15" s="4" t="s">
        <v>24</v>
      </c>
      <c r="B15" s="5" t="s">
        <v>25</v>
      </c>
    </row>
    <row r="16" customFormat="false" ht="15" hidden="false" customHeight="false" outlineLevel="0" collapsed="false">
      <c r="A16" s="4" t="s">
        <v>26</v>
      </c>
      <c r="B16" s="5" t="s">
        <v>27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18" min="7" style="1" width="8"/>
    <col collapsed="false" customWidth="true" hidden="false" outlineLevel="0" max="20" min="19" style="1" width="11"/>
    <col collapsed="false" customWidth="true" hidden="false" outlineLevel="0" max="21" min="21" style="1" width="12"/>
    <col collapsed="false" customWidth="true" hidden="false" outlineLevel="0" max="22" min="22" style="1" width="28"/>
    <col collapsed="false" customWidth="true" hidden="false" outlineLevel="0" max="25" min="25" style="1" width="26"/>
  </cols>
  <sheetData>
    <row r="1" customFormat="false" ht="30" hidden="false" customHeight="tru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24</v>
      </c>
      <c r="V1" s="6" t="s">
        <v>48</v>
      </c>
      <c r="X1" s="7"/>
      <c r="Y1" s="6" t="s">
        <v>49</v>
      </c>
    </row>
    <row r="2" customFormat="false" ht="15" hidden="false" customHeight="true" outlineLevel="0" collapsed="false">
      <c r="A2" s="8" t="s">
        <v>50</v>
      </c>
      <c r="B2" s="9" t="s">
        <v>51</v>
      </c>
      <c r="C2" s="9" t="s">
        <v>52</v>
      </c>
      <c r="D2" s="9" t="s">
        <v>53</v>
      </c>
      <c r="E2" s="10" t="str">
        <f aca="false">IFERROR(IF(D2="","",VLOOKUP(D2,Members!$A$2:$C$16,2,FALSE())),"")</f>
        <v>Modderbee</v>
      </c>
      <c r="F2" s="10" t="str">
        <f aca="false">IFERROR(IF(D2="","",VLOOKUP(D2,Members!$A$2:$C$16,3,FALSE())),"")</f>
        <v>open</v>
      </c>
      <c r="G2" s="11" t="n">
        <v>100.7</v>
      </c>
      <c r="H2" s="11" t="n">
        <v>101.6</v>
      </c>
      <c r="I2" s="11" t="n">
        <v>97.4</v>
      </c>
      <c r="J2" s="11" t="n">
        <v>100.7</v>
      </c>
      <c r="K2" s="11" t="n">
        <v>99.3</v>
      </c>
      <c r="L2" s="11" t="n">
        <v>100.7</v>
      </c>
      <c r="M2" s="12" t="n">
        <v>95</v>
      </c>
      <c r="N2" s="12" t="n">
        <v>95</v>
      </c>
      <c r="O2" s="12" t="n">
        <v>93</v>
      </c>
      <c r="P2" s="12" t="n">
        <v>95</v>
      </c>
      <c r="Q2" s="12" t="n">
        <v>94</v>
      </c>
      <c r="R2" s="12" t="n">
        <v>95</v>
      </c>
      <c r="S2" s="13" t="n">
        <f aca="false">IF(COUNT(G2:L2)=0,"",SUM(G2:L2))</f>
        <v>600.4</v>
      </c>
      <c r="T2" s="14" t="n">
        <f aca="false">IF(COUNT(M2:R2)=0,"",SUM(M2:R2))</f>
        <v>567</v>
      </c>
      <c r="U2" s="9" t="s">
        <v>54</v>
      </c>
      <c r="V2" s="15" t="s">
        <v>55</v>
      </c>
      <c r="Y2" s="16" t="str">
        <f aca="false">IF(AND(A2="",B2="",D2="",COUNT(G2:L2)=0),"",IF(D2="","Missing shooter",IF(A2="","Missing date",IF(B2="","Missing event",IF(E2="","Club not in roster (type manually)",IF(COUNT(G2:L2)=0,"No scores entered",IF(U2="","Set status (official/provisional)",IF(COUNTIFS($A$2:$A$101,A2,$B$2:$B$101,B2,$D$2:$D$101,D2)&gt;1,"Duplicate entry","OK to upload"))))))))</f>
        <v>OK to upload</v>
      </c>
    </row>
    <row r="3" customFormat="false" ht="15" hidden="false" customHeight="true" outlineLevel="0" collapsed="false">
      <c r="A3" s="8" t="s">
        <v>56</v>
      </c>
      <c r="B3" s="9" t="s">
        <v>57</v>
      </c>
      <c r="C3" s="9" t="s">
        <v>52</v>
      </c>
      <c r="D3" s="9" t="s">
        <v>58</v>
      </c>
      <c r="E3" s="10" t="str">
        <f aca="false">IFERROR(IF(D3="","",VLOOKUP(D3,Members!$A$2:$C$16,2,FALSE())),"")</f>
        <v>SATRF Club</v>
      </c>
      <c r="F3" s="10" t="str">
        <f aca="false">IFERROR(IF(D3="","",VLOOKUP(D3,Members!$A$2:$C$16,3,FALSE())),"")</f>
        <v>ladies</v>
      </c>
      <c r="G3" s="11" t="n">
        <v>98.5</v>
      </c>
      <c r="H3" s="11" t="n">
        <v>99.1</v>
      </c>
      <c r="I3" s="11" t="n">
        <v>97.8</v>
      </c>
      <c r="J3" s="11" t="n">
        <v>100.2</v>
      </c>
      <c r="K3" s="11" t="n">
        <v>99</v>
      </c>
      <c r="L3" s="11" t="n">
        <v>98.7</v>
      </c>
      <c r="M3" s="12"/>
      <c r="N3" s="12"/>
      <c r="O3" s="12"/>
      <c r="P3" s="12"/>
      <c r="Q3" s="12"/>
      <c r="R3" s="12"/>
      <c r="S3" s="13" t="n">
        <f aca="false">IF(COUNT(G3:L3)=0,"",SUM(G3:L3))</f>
        <v>593.3</v>
      </c>
      <c r="T3" s="14" t="str">
        <f aca="false">IF(COUNT(M3:R3)=0,"",SUM(M3:R3))</f>
        <v/>
      </c>
      <c r="U3" s="9" t="s">
        <v>54</v>
      </c>
      <c r="V3" s="15"/>
      <c r="Y3" s="16" t="str">
        <f aca="false">IF(AND(A3="",B3="",D3="",COUNT(G3:L3)=0),"",IF(D3="","Missing shooter",IF(A3="","Missing date",IF(B3="","Missing event",IF(E3="","Club not in roster (type manually)",IF(COUNT(G3:L3)=0,"No scores entered",IF(U3="","Set status (official/provisional)",IF(COUNTIFS($A$2:$A$101,A3,$B$2:$B$101,B3,$D$2:$D$101,D3)&gt;1,"Duplicate entry","OK to upload"))))))))</f>
        <v>OK to upload</v>
      </c>
    </row>
    <row r="4" customFormat="false" ht="15" hidden="false" customHeight="true" outlineLevel="0" collapsed="false">
      <c r="A4" s="8"/>
      <c r="B4" s="9"/>
      <c r="C4" s="9"/>
      <c r="D4" s="9"/>
      <c r="E4" s="10" t="str">
        <f aca="false">IFERROR(IF(D4="","",VLOOKUP(D4,Members!$A$2:$C$16,2,FALSE())),"")</f>
        <v/>
      </c>
      <c r="F4" s="10" t="str">
        <f aca="false">IFERROR(IF(D4="","",VLOOKUP(D4,Members!$A$2:$C$16,3,FALSE())),"")</f>
        <v/>
      </c>
      <c r="G4" s="11"/>
      <c r="H4" s="11"/>
      <c r="I4" s="11"/>
      <c r="J4" s="11"/>
      <c r="K4" s="11"/>
      <c r="L4" s="11"/>
      <c r="M4" s="12"/>
      <c r="N4" s="12"/>
      <c r="O4" s="12"/>
      <c r="P4" s="12"/>
      <c r="Q4" s="12"/>
      <c r="R4" s="12"/>
      <c r="S4" s="13" t="str">
        <f aca="false">IF(COUNT(G4:L4)=0,"",SUM(G4:L4))</f>
        <v/>
      </c>
      <c r="T4" s="14" t="str">
        <f aca="false">IF(COUNT(M4:R4)=0,"",SUM(M4:R4))</f>
        <v/>
      </c>
      <c r="U4" s="9"/>
      <c r="V4" s="15"/>
      <c r="Y4" s="16" t="str">
        <f aca="false">IF(AND(A4="",B4="",D4="",COUNT(G4:L4)=0),"",IF(D4="","Missing shooter",IF(A4="","Missing date",IF(B4="","Missing event",IF(E4="","Club not in roster (type manually)",IF(COUNT(G4:L4)=0,"No scores entered",IF(U4="","Set status (official/provisional)",IF(COUNTIFS($A$2:$A$101,A4,$B$2:$B$101,B4,$D$2:$D$101,D4)&gt;1,"Duplicate entry","OK to upload"))))))))</f>
        <v/>
      </c>
    </row>
    <row r="5" customFormat="false" ht="15" hidden="false" customHeight="true" outlineLevel="0" collapsed="false">
      <c r="A5" s="8"/>
      <c r="B5" s="9"/>
      <c r="C5" s="9"/>
      <c r="D5" s="9"/>
      <c r="E5" s="10" t="str">
        <f aca="false">IFERROR(IF(D5="","",VLOOKUP(D5,Members!$A$2:$C$16,2,FALSE())),"")</f>
        <v/>
      </c>
      <c r="F5" s="10" t="str">
        <f aca="false">IFERROR(IF(D5="","",VLOOKUP(D5,Members!$A$2:$C$16,3,FALSE())),"")</f>
        <v/>
      </c>
      <c r="G5" s="11"/>
      <c r="H5" s="11"/>
      <c r="I5" s="11"/>
      <c r="J5" s="11"/>
      <c r="K5" s="11"/>
      <c r="L5" s="11"/>
      <c r="M5" s="12"/>
      <c r="N5" s="12"/>
      <c r="O5" s="12"/>
      <c r="P5" s="12"/>
      <c r="Q5" s="12"/>
      <c r="R5" s="12"/>
      <c r="S5" s="13" t="str">
        <f aca="false">IF(COUNT(G5:L5)=0,"",SUM(G5:L5))</f>
        <v/>
      </c>
      <c r="T5" s="14" t="str">
        <f aca="false">IF(COUNT(M5:R5)=0,"",SUM(M5:R5))</f>
        <v/>
      </c>
      <c r="U5" s="9"/>
      <c r="V5" s="15"/>
      <c r="Y5" s="16" t="str">
        <f aca="false">IF(AND(A5="",B5="",D5="",COUNT(G5:L5)=0),"",IF(D5="","Missing shooter",IF(A5="","Missing date",IF(B5="","Missing event",IF(E5="","Club not in roster (type manually)",IF(COUNT(G5:L5)=0,"No scores entered",IF(U5="","Set status (official/provisional)",IF(COUNTIFS($A$2:$A$101,A5,$B$2:$B$101,B5,$D$2:$D$101,D5)&gt;1,"Duplicate entry","OK to upload"))))))))</f>
        <v/>
      </c>
    </row>
    <row r="6" customFormat="false" ht="15" hidden="false" customHeight="true" outlineLevel="0" collapsed="false">
      <c r="A6" s="8"/>
      <c r="B6" s="9"/>
      <c r="C6" s="9"/>
      <c r="D6" s="9"/>
      <c r="E6" s="10" t="str">
        <f aca="false">IFERROR(IF(D6="","",VLOOKUP(D6,Members!$A$2:$C$16,2,FALSE())),"")</f>
        <v/>
      </c>
      <c r="F6" s="10" t="str">
        <f aca="false">IFERROR(IF(D6="","",VLOOKUP(D6,Members!$A$2:$C$16,3,FALSE())),"")</f>
        <v/>
      </c>
      <c r="G6" s="11"/>
      <c r="H6" s="11"/>
      <c r="I6" s="11"/>
      <c r="J6" s="11"/>
      <c r="K6" s="11"/>
      <c r="L6" s="11"/>
      <c r="M6" s="12"/>
      <c r="N6" s="12"/>
      <c r="O6" s="12"/>
      <c r="P6" s="12"/>
      <c r="Q6" s="12"/>
      <c r="R6" s="12"/>
      <c r="S6" s="13" t="str">
        <f aca="false">IF(COUNT(G6:L6)=0,"",SUM(G6:L6))</f>
        <v/>
      </c>
      <c r="T6" s="14" t="str">
        <f aca="false">IF(COUNT(M6:R6)=0,"",SUM(M6:R6))</f>
        <v/>
      </c>
      <c r="U6" s="9"/>
      <c r="V6" s="15"/>
      <c r="Y6" s="16" t="str">
        <f aca="false">IF(AND(A6="",B6="",D6="",COUNT(G6:L6)=0),"",IF(D6="","Missing shooter",IF(A6="","Missing date",IF(B6="","Missing event",IF(E6="","Club not in roster (type manually)",IF(COUNT(G6:L6)=0,"No scores entered",IF(U6="","Set status (official/provisional)",IF(COUNTIFS($A$2:$A$101,A6,$B$2:$B$101,B6,$D$2:$D$101,D6)&gt;1,"Duplicate entry","OK to upload"))))))))</f>
        <v/>
      </c>
    </row>
    <row r="7" customFormat="false" ht="15" hidden="false" customHeight="true" outlineLevel="0" collapsed="false">
      <c r="A7" s="8"/>
      <c r="B7" s="9"/>
      <c r="C7" s="9"/>
      <c r="D7" s="9"/>
      <c r="E7" s="10" t="str">
        <f aca="false">IFERROR(IF(D7="","",VLOOKUP(D7,Members!$A$2:$C$16,2,FALSE())),"")</f>
        <v/>
      </c>
      <c r="F7" s="10" t="str">
        <f aca="false">IFERROR(IF(D7="","",VLOOKUP(D7,Members!$A$2:$C$16,3,FALSE())),"")</f>
        <v/>
      </c>
      <c r="G7" s="11"/>
      <c r="H7" s="11"/>
      <c r="I7" s="11"/>
      <c r="J7" s="11"/>
      <c r="K7" s="11"/>
      <c r="L7" s="11"/>
      <c r="M7" s="12"/>
      <c r="N7" s="12"/>
      <c r="O7" s="12"/>
      <c r="P7" s="12"/>
      <c r="Q7" s="12"/>
      <c r="R7" s="12"/>
      <c r="S7" s="13" t="str">
        <f aca="false">IF(COUNT(G7:L7)=0,"",SUM(G7:L7))</f>
        <v/>
      </c>
      <c r="T7" s="14" t="str">
        <f aca="false">IF(COUNT(M7:R7)=0,"",SUM(M7:R7))</f>
        <v/>
      </c>
      <c r="U7" s="9"/>
      <c r="V7" s="15"/>
      <c r="Y7" s="16" t="str">
        <f aca="false">IF(AND(A7="",B7="",D7="",COUNT(G7:L7)=0),"",IF(D7="","Missing shooter",IF(A7="","Missing date",IF(B7="","Missing event",IF(E7="","Club not in roster (type manually)",IF(COUNT(G7:L7)=0,"No scores entered",IF(U7="","Set status (official/provisional)",IF(COUNTIFS($A$2:$A$101,A7,$B$2:$B$101,B7,$D$2:$D$101,D7)&gt;1,"Duplicate entry","OK to upload"))))))))</f>
        <v/>
      </c>
    </row>
    <row r="8" customFormat="false" ht="15" hidden="false" customHeight="true" outlineLevel="0" collapsed="false">
      <c r="A8" s="8"/>
      <c r="B8" s="9"/>
      <c r="C8" s="9"/>
      <c r="D8" s="9"/>
      <c r="E8" s="10" t="str">
        <f aca="false">IFERROR(IF(D8="","",VLOOKUP(D8,Members!$A$2:$C$16,2,FALSE())),"")</f>
        <v/>
      </c>
      <c r="F8" s="10" t="str">
        <f aca="false">IFERROR(IF(D8="","",VLOOKUP(D8,Members!$A$2:$C$16,3,FALSE())),"")</f>
        <v/>
      </c>
      <c r="G8" s="11"/>
      <c r="H8" s="11"/>
      <c r="I8" s="11"/>
      <c r="J8" s="11"/>
      <c r="K8" s="11"/>
      <c r="L8" s="11"/>
      <c r="M8" s="12"/>
      <c r="N8" s="12"/>
      <c r="O8" s="12"/>
      <c r="P8" s="12"/>
      <c r="Q8" s="12"/>
      <c r="R8" s="12"/>
      <c r="S8" s="13" t="str">
        <f aca="false">IF(COUNT(G8:L8)=0,"",SUM(G8:L8))</f>
        <v/>
      </c>
      <c r="T8" s="14" t="str">
        <f aca="false">IF(COUNT(M8:R8)=0,"",SUM(M8:R8))</f>
        <v/>
      </c>
      <c r="U8" s="9"/>
      <c r="V8" s="15"/>
      <c r="Y8" s="16" t="str">
        <f aca="false">IF(AND(A8="",B8="",D8="",COUNT(G8:L8)=0),"",IF(D8="","Missing shooter",IF(A8="","Missing date",IF(B8="","Missing event",IF(E8="","Club not in roster (type manually)",IF(COUNT(G8:L8)=0,"No scores entered",IF(U8="","Set status (official/provisional)",IF(COUNTIFS($A$2:$A$101,A8,$B$2:$B$101,B8,$D$2:$D$101,D8)&gt;1,"Duplicate entry","OK to upload"))))))))</f>
        <v/>
      </c>
    </row>
    <row r="9" customFormat="false" ht="15" hidden="false" customHeight="true" outlineLevel="0" collapsed="false">
      <c r="A9" s="8"/>
      <c r="B9" s="9"/>
      <c r="C9" s="9"/>
      <c r="D9" s="9"/>
      <c r="E9" s="10" t="str">
        <f aca="false">IFERROR(IF(D9="","",VLOOKUP(D9,Members!$A$2:$C$16,2,FALSE())),"")</f>
        <v/>
      </c>
      <c r="F9" s="10" t="str">
        <f aca="false">IFERROR(IF(D9="","",VLOOKUP(D9,Members!$A$2:$C$16,3,FALSE())),"")</f>
        <v/>
      </c>
      <c r="G9" s="11"/>
      <c r="H9" s="11"/>
      <c r="I9" s="11"/>
      <c r="J9" s="11"/>
      <c r="K9" s="11"/>
      <c r="L9" s="11"/>
      <c r="M9" s="12"/>
      <c r="N9" s="12"/>
      <c r="O9" s="12"/>
      <c r="P9" s="12"/>
      <c r="Q9" s="12"/>
      <c r="R9" s="12"/>
      <c r="S9" s="13" t="str">
        <f aca="false">IF(COUNT(G9:L9)=0,"",SUM(G9:L9))</f>
        <v/>
      </c>
      <c r="T9" s="14" t="str">
        <f aca="false">IF(COUNT(M9:R9)=0,"",SUM(M9:R9))</f>
        <v/>
      </c>
      <c r="U9" s="9"/>
      <c r="V9" s="15"/>
      <c r="Y9" s="16" t="str">
        <f aca="false">IF(AND(A9="",B9="",D9="",COUNT(G9:L9)=0),"",IF(D9="","Missing shooter",IF(A9="","Missing date",IF(B9="","Missing event",IF(E9="","Club not in roster (type manually)",IF(COUNT(G9:L9)=0,"No scores entered",IF(U9="","Set status (official/provisional)",IF(COUNTIFS($A$2:$A$101,A9,$B$2:$B$101,B9,$D$2:$D$101,D9)&gt;1,"Duplicate entry","OK to upload"))))))))</f>
        <v/>
      </c>
    </row>
    <row r="10" customFormat="false" ht="15" hidden="false" customHeight="true" outlineLevel="0" collapsed="false">
      <c r="A10" s="8"/>
      <c r="B10" s="9"/>
      <c r="C10" s="9"/>
      <c r="D10" s="9"/>
      <c r="E10" s="10" t="str">
        <f aca="false">IFERROR(IF(D10="","",VLOOKUP(D10,Members!$A$2:$C$16,2,FALSE())),"")</f>
        <v/>
      </c>
      <c r="F10" s="10" t="str">
        <f aca="false">IFERROR(IF(D10="","",VLOOKUP(D10,Members!$A$2:$C$16,3,FALSE())),"")</f>
        <v/>
      </c>
      <c r="G10" s="11"/>
      <c r="H10" s="11"/>
      <c r="I10" s="11"/>
      <c r="J10" s="11"/>
      <c r="K10" s="11"/>
      <c r="L10" s="11"/>
      <c r="M10" s="12"/>
      <c r="N10" s="12"/>
      <c r="O10" s="12"/>
      <c r="P10" s="12"/>
      <c r="Q10" s="12"/>
      <c r="R10" s="12"/>
      <c r="S10" s="13" t="str">
        <f aca="false">IF(COUNT(G10:L10)=0,"",SUM(G10:L10))</f>
        <v/>
      </c>
      <c r="T10" s="14" t="str">
        <f aca="false">IF(COUNT(M10:R10)=0,"",SUM(M10:R10))</f>
        <v/>
      </c>
      <c r="U10" s="9"/>
      <c r="V10" s="15"/>
      <c r="Y10" s="16" t="str">
        <f aca="false">IF(AND(A10="",B10="",D10="",COUNT(G10:L10)=0),"",IF(D10="","Missing shooter",IF(A10="","Missing date",IF(B10="","Missing event",IF(E10="","Club not in roster (type manually)",IF(COUNT(G10:L10)=0,"No scores entered",IF(U10="","Set status (official/provisional)",IF(COUNTIFS($A$2:$A$101,A10,$B$2:$B$101,B10,$D$2:$D$101,D10)&gt;1,"Duplicate entry","OK to upload"))))))))</f>
        <v/>
      </c>
    </row>
    <row r="11" customFormat="false" ht="15" hidden="false" customHeight="true" outlineLevel="0" collapsed="false">
      <c r="A11" s="8"/>
      <c r="B11" s="9"/>
      <c r="C11" s="9"/>
      <c r="D11" s="9"/>
      <c r="E11" s="10" t="str">
        <f aca="false">IFERROR(IF(D11="","",VLOOKUP(D11,Members!$A$2:$C$16,2,FALSE())),"")</f>
        <v/>
      </c>
      <c r="F11" s="10" t="str">
        <f aca="false">IFERROR(IF(D11="","",VLOOKUP(D11,Members!$A$2:$C$16,3,FALSE())),"")</f>
        <v/>
      </c>
      <c r="G11" s="11"/>
      <c r="H11" s="11"/>
      <c r="I11" s="11"/>
      <c r="J11" s="11"/>
      <c r="K11" s="11"/>
      <c r="L11" s="11"/>
      <c r="M11" s="12"/>
      <c r="N11" s="12"/>
      <c r="O11" s="12"/>
      <c r="P11" s="12"/>
      <c r="Q11" s="12"/>
      <c r="R11" s="12"/>
      <c r="S11" s="13" t="str">
        <f aca="false">IF(COUNT(G11:L11)=0,"",SUM(G11:L11))</f>
        <v/>
      </c>
      <c r="T11" s="14" t="str">
        <f aca="false">IF(COUNT(M11:R11)=0,"",SUM(M11:R11))</f>
        <v/>
      </c>
      <c r="U11" s="9"/>
      <c r="V11" s="15"/>
      <c r="Y11" s="16" t="str">
        <f aca="false">IF(AND(A11="",B11="",D11="",COUNT(G11:L11)=0),"",IF(D11="","Missing shooter",IF(A11="","Missing date",IF(B11="","Missing event",IF(E11="","Club not in roster (type manually)",IF(COUNT(G11:L11)=0,"No scores entered",IF(U11="","Set status (official/provisional)",IF(COUNTIFS($A$2:$A$101,A11,$B$2:$B$101,B11,$D$2:$D$101,D11)&gt;1,"Duplicate entry","OK to upload"))))))))</f>
        <v/>
      </c>
    </row>
    <row r="12" customFormat="false" ht="15" hidden="false" customHeight="true" outlineLevel="0" collapsed="false">
      <c r="A12" s="8"/>
      <c r="B12" s="9"/>
      <c r="C12" s="9"/>
      <c r="D12" s="9"/>
      <c r="E12" s="10" t="str">
        <f aca="false">IFERROR(IF(D12="","",VLOOKUP(D12,Members!$A$2:$C$16,2,FALSE())),"")</f>
        <v/>
      </c>
      <c r="F12" s="10" t="str">
        <f aca="false">IFERROR(IF(D12="","",VLOOKUP(D12,Members!$A$2:$C$16,3,FALSE())),"")</f>
        <v/>
      </c>
      <c r="G12" s="11"/>
      <c r="H12" s="11"/>
      <c r="I12" s="11"/>
      <c r="J12" s="11"/>
      <c r="K12" s="11"/>
      <c r="L12" s="11"/>
      <c r="M12" s="12"/>
      <c r="N12" s="12"/>
      <c r="O12" s="12"/>
      <c r="P12" s="12"/>
      <c r="Q12" s="12"/>
      <c r="R12" s="12"/>
      <c r="S12" s="13" t="str">
        <f aca="false">IF(COUNT(G12:L12)=0,"",SUM(G12:L12))</f>
        <v/>
      </c>
      <c r="T12" s="14" t="str">
        <f aca="false">IF(COUNT(M12:R12)=0,"",SUM(M12:R12))</f>
        <v/>
      </c>
      <c r="U12" s="9"/>
      <c r="V12" s="15"/>
      <c r="Y12" s="16" t="str">
        <f aca="false">IF(AND(A12="",B12="",D12="",COUNT(G12:L12)=0),"",IF(D12="","Missing shooter",IF(A12="","Missing date",IF(B12="","Missing event",IF(E12="","Club not in roster (type manually)",IF(COUNT(G12:L12)=0,"No scores entered",IF(U12="","Set status (official/provisional)",IF(COUNTIFS($A$2:$A$101,A12,$B$2:$B$101,B12,$D$2:$D$101,D12)&gt;1,"Duplicate entry","OK to upload"))))))))</f>
        <v/>
      </c>
    </row>
    <row r="13" customFormat="false" ht="15" hidden="false" customHeight="true" outlineLevel="0" collapsed="false">
      <c r="A13" s="8"/>
      <c r="B13" s="9"/>
      <c r="C13" s="9"/>
      <c r="D13" s="9"/>
      <c r="E13" s="10" t="str">
        <f aca="false">IFERROR(IF(D13="","",VLOOKUP(D13,Members!$A$2:$C$16,2,FALSE())),"")</f>
        <v/>
      </c>
      <c r="F13" s="10" t="str">
        <f aca="false">IFERROR(IF(D13="","",VLOOKUP(D13,Members!$A$2:$C$16,3,FALSE())),"")</f>
        <v/>
      </c>
      <c r="G13" s="11"/>
      <c r="H13" s="11"/>
      <c r="I13" s="11"/>
      <c r="J13" s="11"/>
      <c r="K13" s="11"/>
      <c r="L13" s="11"/>
      <c r="M13" s="12"/>
      <c r="N13" s="12"/>
      <c r="O13" s="12"/>
      <c r="P13" s="12"/>
      <c r="Q13" s="12"/>
      <c r="R13" s="12"/>
      <c r="S13" s="13" t="str">
        <f aca="false">IF(COUNT(G13:L13)=0,"",SUM(G13:L13))</f>
        <v/>
      </c>
      <c r="T13" s="14" t="str">
        <f aca="false">IF(COUNT(M13:R13)=0,"",SUM(M13:R13))</f>
        <v/>
      </c>
      <c r="U13" s="9"/>
      <c r="V13" s="15"/>
      <c r="Y13" s="16" t="str">
        <f aca="false">IF(AND(A13="",B13="",D13="",COUNT(G13:L13)=0),"",IF(D13="","Missing shooter",IF(A13="","Missing date",IF(B13="","Missing event",IF(E13="","Club not in roster (type manually)",IF(COUNT(G13:L13)=0,"No scores entered",IF(U13="","Set status (official/provisional)",IF(COUNTIFS($A$2:$A$101,A13,$B$2:$B$101,B13,$D$2:$D$101,D13)&gt;1,"Duplicate entry","OK to upload"))))))))</f>
        <v/>
      </c>
    </row>
    <row r="14" customFormat="false" ht="15" hidden="false" customHeight="true" outlineLevel="0" collapsed="false">
      <c r="A14" s="8"/>
      <c r="B14" s="9"/>
      <c r="C14" s="9"/>
      <c r="D14" s="9"/>
      <c r="E14" s="10" t="str">
        <f aca="false">IFERROR(IF(D14="","",VLOOKUP(D14,Members!$A$2:$C$16,2,FALSE())),"")</f>
        <v/>
      </c>
      <c r="F14" s="10" t="str">
        <f aca="false">IFERROR(IF(D14="","",VLOOKUP(D14,Members!$A$2:$C$16,3,FALSE())),"")</f>
        <v/>
      </c>
      <c r="G14" s="11"/>
      <c r="H14" s="11"/>
      <c r="I14" s="11"/>
      <c r="J14" s="11"/>
      <c r="K14" s="11"/>
      <c r="L14" s="11"/>
      <c r="M14" s="12"/>
      <c r="N14" s="12"/>
      <c r="O14" s="12"/>
      <c r="P14" s="12"/>
      <c r="Q14" s="12"/>
      <c r="R14" s="12"/>
      <c r="S14" s="13" t="str">
        <f aca="false">IF(COUNT(G14:L14)=0,"",SUM(G14:L14))</f>
        <v/>
      </c>
      <c r="T14" s="14" t="str">
        <f aca="false">IF(COUNT(M14:R14)=0,"",SUM(M14:R14))</f>
        <v/>
      </c>
      <c r="U14" s="9"/>
      <c r="V14" s="15"/>
      <c r="Y14" s="16" t="str">
        <f aca="false">IF(AND(A14="",B14="",D14="",COUNT(G14:L14)=0),"",IF(D14="","Missing shooter",IF(A14="","Missing date",IF(B14="","Missing event",IF(E14="","Club not in roster (type manually)",IF(COUNT(G14:L14)=0,"No scores entered",IF(U14="","Set status (official/provisional)",IF(COUNTIFS($A$2:$A$101,A14,$B$2:$B$101,B14,$D$2:$D$101,D14)&gt;1,"Duplicate entry","OK to upload"))))))))</f>
        <v/>
      </c>
    </row>
    <row r="15" customFormat="false" ht="15" hidden="false" customHeight="true" outlineLevel="0" collapsed="false">
      <c r="A15" s="8"/>
      <c r="B15" s="9"/>
      <c r="C15" s="9"/>
      <c r="D15" s="9"/>
      <c r="E15" s="10" t="str">
        <f aca="false">IFERROR(IF(D15="","",VLOOKUP(D15,Members!$A$2:$C$16,2,FALSE())),"")</f>
        <v/>
      </c>
      <c r="F15" s="10" t="str">
        <f aca="false">IFERROR(IF(D15="","",VLOOKUP(D15,Members!$A$2:$C$16,3,FALSE())),"")</f>
        <v/>
      </c>
      <c r="G15" s="11"/>
      <c r="H15" s="11"/>
      <c r="I15" s="11"/>
      <c r="J15" s="11"/>
      <c r="K15" s="11"/>
      <c r="L15" s="11"/>
      <c r="M15" s="12"/>
      <c r="N15" s="12"/>
      <c r="O15" s="12"/>
      <c r="P15" s="12"/>
      <c r="Q15" s="12"/>
      <c r="R15" s="12"/>
      <c r="S15" s="13" t="str">
        <f aca="false">IF(COUNT(G15:L15)=0,"",SUM(G15:L15))</f>
        <v/>
      </c>
      <c r="T15" s="14" t="str">
        <f aca="false">IF(COUNT(M15:R15)=0,"",SUM(M15:R15))</f>
        <v/>
      </c>
      <c r="U15" s="9"/>
      <c r="V15" s="15"/>
      <c r="Y15" s="16" t="str">
        <f aca="false">IF(AND(A15="",B15="",D15="",COUNT(G15:L15)=0),"",IF(D15="","Missing shooter",IF(A15="","Missing date",IF(B15="","Missing event",IF(E15="","Club not in roster (type manually)",IF(COUNT(G15:L15)=0,"No scores entered",IF(U15="","Set status (official/provisional)",IF(COUNTIFS($A$2:$A$101,A15,$B$2:$B$101,B15,$D$2:$D$101,D15)&gt;1,"Duplicate entry","OK to upload"))))))))</f>
        <v/>
      </c>
    </row>
    <row r="16" customFormat="false" ht="15" hidden="false" customHeight="true" outlineLevel="0" collapsed="false">
      <c r="A16" s="8"/>
      <c r="B16" s="9"/>
      <c r="C16" s="9"/>
      <c r="D16" s="9"/>
      <c r="E16" s="10" t="str">
        <f aca="false">IFERROR(IF(D16="","",VLOOKUP(D16,Members!$A$2:$C$16,2,FALSE())),"")</f>
        <v/>
      </c>
      <c r="F16" s="10" t="str">
        <f aca="false">IFERROR(IF(D16="","",VLOOKUP(D16,Members!$A$2:$C$16,3,FALSE())),"")</f>
        <v/>
      </c>
      <c r="G16" s="11"/>
      <c r="H16" s="11"/>
      <c r="I16" s="11"/>
      <c r="J16" s="11"/>
      <c r="K16" s="11"/>
      <c r="L16" s="11"/>
      <c r="M16" s="12"/>
      <c r="N16" s="12"/>
      <c r="O16" s="12"/>
      <c r="P16" s="12"/>
      <c r="Q16" s="12"/>
      <c r="R16" s="12"/>
      <c r="S16" s="13" t="str">
        <f aca="false">IF(COUNT(G16:L16)=0,"",SUM(G16:L16))</f>
        <v/>
      </c>
      <c r="T16" s="14" t="str">
        <f aca="false">IF(COUNT(M16:R16)=0,"",SUM(M16:R16))</f>
        <v/>
      </c>
      <c r="U16" s="9"/>
      <c r="V16" s="15"/>
      <c r="Y16" s="16" t="str">
        <f aca="false">IF(AND(A16="",B16="",D16="",COUNT(G16:L16)=0),"",IF(D16="","Missing shooter",IF(A16="","Missing date",IF(B16="","Missing event",IF(E16="","Club not in roster (type manually)",IF(COUNT(G16:L16)=0,"No scores entered",IF(U16="","Set status (official/provisional)",IF(COUNTIFS($A$2:$A$101,A16,$B$2:$B$101,B16,$D$2:$D$101,D16)&gt;1,"Duplicate entry","OK to upload"))))))))</f>
        <v/>
      </c>
    </row>
    <row r="17" customFormat="false" ht="15" hidden="false" customHeight="true" outlineLevel="0" collapsed="false">
      <c r="A17" s="8"/>
      <c r="B17" s="9"/>
      <c r="C17" s="9"/>
      <c r="D17" s="9"/>
      <c r="E17" s="10" t="str">
        <f aca="false">IFERROR(IF(D17="","",VLOOKUP(D17,Members!$A$2:$C$16,2,FALSE())),"")</f>
        <v/>
      </c>
      <c r="F17" s="10" t="str">
        <f aca="false">IFERROR(IF(D17="","",VLOOKUP(D17,Members!$A$2:$C$16,3,FALSE())),"")</f>
        <v/>
      </c>
      <c r="G17" s="11"/>
      <c r="H17" s="11"/>
      <c r="I17" s="11"/>
      <c r="J17" s="11"/>
      <c r="K17" s="11"/>
      <c r="L17" s="11"/>
      <c r="M17" s="12"/>
      <c r="N17" s="12"/>
      <c r="O17" s="12"/>
      <c r="P17" s="12"/>
      <c r="Q17" s="12"/>
      <c r="R17" s="12"/>
      <c r="S17" s="13" t="str">
        <f aca="false">IF(COUNT(G17:L17)=0,"",SUM(G17:L17))</f>
        <v/>
      </c>
      <c r="T17" s="14" t="str">
        <f aca="false">IF(COUNT(M17:R17)=0,"",SUM(M17:R17))</f>
        <v/>
      </c>
      <c r="U17" s="9"/>
      <c r="V17" s="15"/>
      <c r="Y17" s="16" t="str">
        <f aca="false">IF(AND(A17="",B17="",D17="",COUNT(G17:L17)=0),"",IF(D17="","Missing shooter",IF(A17="","Missing date",IF(B17="","Missing event",IF(E17="","Club not in roster (type manually)",IF(COUNT(G17:L17)=0,"No scores entered",IF(U17="","Set status (official/provisional)",IF(COUNTIFS($A$2:$A$101,A17,$B$2:$B$101,B17,$D$2:$D$101,D17)&gt;1,"Duplicate entry","OK to upload"))))))))</f>
        <v/>
      </c>
    </row>
    <row r="18" customFormat="false" ht="15" hidden="false" customHeight="true" outlineLevel="0" collapsed="false">
      <c r="A18" s="8"/>
      <c r="B18" s="9"/>
      <c r="C18" s="9"/>
      <c r="D18" s="9"/>
      <c r="E18" s="10" t="str">
        <f aca="false">IFERROR(IF(D18="","",VLOOKUP(D18,Members!$A$2:$C$16,2,FALSE())),"")</f>
        <v/>
      </c>
      <c r="F18" s="10" t="str">
        <f aca="false">IFERROR(IF(D18="","",VLOOKUP(D18,Members!$A$2:$C$16,3,FALSE())),"")</f>
        <v/>
      </c>
      <c r="G18" s="11"/>
      <c r="H18" s="11"/>
      <c r="I18" s="11"/>
      <c r="J18" s="11"/>
      <c r="K18" s="11"/>
      <c r="L18" s="11"/>
      <c r="M18" s="12"/>
      <c r="N18" s="12"/>
      <c r="O18" s="12"/>
      <c r="P18" s="12"/>
      <c r="Q18" s="12"/>
      <c r="R18" s="12"/>
      <c r="S18" s="13" t="str">
        <f aca="false">IF(COUNT(G18:L18)=0,"",SUM(G18:L18))</f>
        <v/>
      </c>
      <c r="T18" s="14" t="str">
        <f aca="false">IF(COUNT(M18:R18)=0,"",SUM(M18:R18))</f>
        <v/>
      </c>
      <c r="U18" s="9"/>
      <c r="V18" s="15"/>
      <c r="Y18" s="16" t="str">
        <f aca="false">IF(AND(A18="",B18="",D18="",COUNT(G18:L18)=0),"",IF(D18="","Missing shooter",IF(A18="","Missing date",IF(B18="","Missing event",IF(E18="","Club not in roster (type manually)",IF(COUNT(G18:L18)=0,"No scores entered",IF(U18="","Set status (official/provisional)",IF(COUNTIFS($A$2:$A$101,A18,$B$2:$B$101,B18,$D$2:$D$101,D18)&gt;1,"Duplicate entry","OK to upload"))))))))</f>
        <v/>
      </c>
    </row>
    <row r="19" customFormat="false" ht="15" hidden="false" customHeight="true" outlineLevel="0" collapsed="false">
      <c r="A19" s="8"/>
      <c r="B19" s="9"/>
      <c r="C19" s="9"/>
      <c r="D19" s="9"/>
      <c r="E19" s="10" t="str">
        <f aca="false">IFERROR(IF(D19="","",VLOOKUP(D19,Members!$A$2:$C$16,2,FALSE())),"")</f>
        <v/>
      </c>
      <c r="F19" s="10" t="str">
        <f aca="false">IFERROR(IF(D19="","",VLOOKUP(D19,Members!$A$2:$C$16,3,FALSE())),"")</f>
        <v/>
      </c>
      <c r="G19" s="11"/>
      <c r="H19" s="11"/>
      <c r="I19" s="11"/>
      <c r="J19" s="11"/>
      <c r="K19" s="11"/>
      <c r="L19" s="11"/>
      <c r="M19" s="12"/>
      <c r="N19" s="12"/>
      <c r="O19" s="12"/>
      <c r="P19" s="12"/>
      <c r="Q19" s="12"/>
      <c r="R19" s="12"/>
      <c r="S19" s="13" t="str">
        <f aca="false">IF(COUNT(G19:L19)=0,"",SUM(G19:L19))</f>
        <v/>
      </c>
      <c r="T19" s="14" t="str">
        <f aca="false">IF(COUNT(M19:R19)=0,"",SUM(M19:R19))</f>
        <v/>
      </c>
      <c r="U19" s="9"/>
      <c r="V19" s="15"/>
      <c r="Y19" s="16" t="str">
        <f aca="false">IF(AND(A19="",B19="",D19="",COUNT(G19:L19)=0),"",IF(D19="","Missing shooter",IF(A19="","Missing date",IF(B19="","Missing event",IF(E19="","Club not in roster (type manually)",IF(COUNT(G19:L19)=0,"No scores entered",IF(U19="","Set status (official/provisional)",IF(COUNTIFS($A$2:$A$101,A19,$B$2:$B$101,B19,$D$2:$D$101,D19)&gt;1,"Duplicate entry","OK to upload"))))))))</f>
        <v/>
      </c>
    </row>
    <row r="20" customFormat="false" ht="15" hidden="false" customHeight="true" outlineLevel="0" collapsed="false">
      <c r="A20" s="8"/>
      <c r="B20" s="9"/>
      <c r="C20" s="9"/>
      <c r="D20" s="9"/>
      <c r="E20" s="10" t="str">
        <f aca="false">IFERROR(IF(D20="","",VLOOKUP(D20,Members!$A$2:$C$16,2,FALSE())),"")</f>
        <v/>
      </c>
      <c r="F20" s="10" t="str">
        <f aca="false">IFERROR(IF(D20="","",VLOOKUP(D20,Members!$A$2:$C$16,3,FALSE())),"")</f>
        <v/>
      </c>
      <c r="G20" s="11"/>
      <c r="H20" s="11"/>
      <c r="I20" s="11"/>
      <c r="J20" s="11"/>
      <c r="K20" s="11"/>
      <c r="L20" s="11"/>
      <c r="M20" s="12"/>
      <c r="N20" s="12"/>
      <c r="O20" s="12"/>
      <c r="P20" s="12"/>
      <c r="Q20" s="12"/>
      <c r="R20" s="12"/>
      <c r="S20" s="13" t="str">
        <f aca="false">IF(COUNT(G20:L20)=0,"",SUM(G20:L20))</f>
        <v/>
      </c>
      <c r="T20" s="14" t="str">
        <f aca="false">IF(COUNT(M20:R20)=0,"",SUM(M20:R20))</f>
        <v/>
      </c>
      <c r="U20" s="9"/>
      <c r="V20" s="15"/>
      <c r="Y20" s="16" t="str">
        <f aca="false">IF(AND(A20="",B20="",D20="",COUNT(G20:L20)=0),"",IF(D20="","Missing shooter",IF(A20="","Missing date",IF(B20="","Missing event",IF(E20="","Club not in roster (type manually)",IF(COUNT(G20:L20)=0,"No scores entered",IF(U20="","Set status (official/provisional)",IF(COUNTIFS($A$2:$A$101,A20,$B$2:$B$101,B20,$D$2:$D$101,D20)&gt;1,"Duplicate entry","OK to upload"))))))))</f>
        <v/>
      </c>
    </row>
    <row r="21" customFormat="false" ht="15" hidden="false" customHeight="true" outlineLevel="0" collapsed="false">
      <c r="A21" s="8"/>
      <c r="B21" s="9"/>
      <c r="C21" s="9"/>
      <c r="D21" s="9"/>
      <c r="E21" s="10" t="str">
        <f aca="false">IFERROR(IF(D21="","",VLOOKUP(D21,Members!$A$2:$C$16,2,FALSE())),"")</f>
        <v/>
      </c>
      <c r="F21" s="10" t="str">
        <f aca="false">IFERROR(IF(D21="","",VLOOKUP(D21,Members!$A$2:$C$16,3,FALSE())),"")</f>
        <v/>
      </c>
      <c r="G21" s="11"/>
      <c r="H21" s="11"/>
      <c r="I21" s="11"/>
      <c r="J21" s="11"/>
      <c r="K21" s="11"/>
      <c r="L21" s="11"/>
      <c r="M21" s="12"/>
      <c r="N21" s="12"/>
      <c r="O21" s="12"/>
      <c r="P21" s="12"/>
      <c r="Q21" s="12"/>
      <c r="R21" s="12"/>
      <c r="S21" s="13" t="str">
        <f aca="false">IF(COUNT(G21:L21)=0,"",SUM(G21:L21))</f>
        <v/>
      </c>
      <c r="T21" s="14" t="str">
        <f aca="false">IF(COUNT(M21:R21)=0,"",SUM(M21:R21))</f>
        <v/>
      </c>
      <c r="U21" s="9"/>
      <c r="V21" s="15"/>
      <c r="Y21" s="16" t="str">
        <f aca="false">IF(AND(A21="",B21="",D21="",COUNT(G21:L21)=0),"",IF(D21="","Missing shooter",IF(A21="","Missing date",IF(B21="","Missing event",IF(E21="","Club not in roster (type manually)",IF(COUNT(G21:L21)=0,"No scores entered",IF(U21="","Set status (official/provisional)",IF(COUNTIFS($A$2:$A$101,A21,$B$2:$B$101,B21,$D$2:$D$101,D21)&gt;1,"Duplicate entry","OK to upload"))))))))</f>
        <v/>
      </c>
    </row>
    <row r="22" customFormat="false" ht="15" hidden="false" customHeight="true" outlineLevel="0" collapsed="false">
      <c r="A22" s="8"/>
      <c r="B22" s="9"/>
      <c r="C22" s="9"/>
      <c r="D22" s="9"/>
      <c r="E22" s="10" t="str">
        <f aca="false">IFERROR(IF(D22="","",VLOOKUP(D22,Members!$A$2:$C$16,2,FALSE())),"")</f>
        <v/>
      </c>
      <c r="F22" s="10" t="str">
        <f aca="false">IFERROR(IF(D22="","",VLOOKUP(D22,Members!$A$2:$C$16,3,FALSE())),"")</f>
        <v/>
      </c>
      <c r="G22" s="11"/>
      <c r="H22" s="11"/>
      <c r="I22" s="11"/>
      <c r="J22" s="11"/>
      <c r="K22" s="11"/>
      <c r="L22" s="11"/>
      <c r="M22" s="12"/>
      <c r="N22" s="12"/>
      <c r="O22" s="12"/>
      <c r="P22" s="12"/>
      <c r="Q22" s="12"/>
      <c r="R22" s="12"/>
      <c r="S22" s="13" t="str">
        <f aca="false">IF(COUNT(G22:L22)=0,"",SUM(G22:L22))</f>
        <v/>
      </c>
      <c r="T22" s="14" t="str">
        <f aca="false">IF(COUNT(M22:R22)=0,"",SUM(M22:R22))</f>
        <v/>
      </c>
      <c r="U22" s="9"/>
      <c r="V22" s="15"/>
      <c r="Y22" s="16" t="str">
        <f aca="false">IF(AND(A22="",B22="",D22="",COUNT(G22:L22)=0),"",IF(D22="","Missing shooter",IF(A22="","Missing date",IF(B22="","Missing event",IF(E22="","Club not in roster (type manually)",IF(COUNT(G22:L22)=0,"No scores entered",IF(U22="","Set status (official/provisional)",IF(COUNTIFS($A$2:$A$101,A22,$B$2:$B$101,B22,$D$2:$D$101,D22)&gt;1,"Duplicate entry","OK to upload"))))))))</f>
        <v/>
      </c>
    </row>
    <row r="23" customFormat="false" ht="15" hidden="false" customHeight="true" outlineLevel="0" collapsed="false">
      <c r="A23" s="8"/>
      <c r="B23" s="9"/>
      <c r="C23" s="9"/>
      <c r="D23" s="9"/>
      <c r="E23" s="10" t="str">
        <f aca="false">IFERROR(IF(D23="","",VLOOKUP(D23,Members!$A$2:$C$16,2,FALSE())),"")</f>
        <v/>
      </c>
      <c r="F23" s="10" t="str">
        <f aca="false">IFERROR(IF(D23="","",VLOOKUP(D23,Members!$A$2:$C$16,3,FALSE())),"")</f>
        <v/>
      </c>
      <c r="G23" s="11"/>
      <c r="H23" s="11"/>
      <c r="I23" s="11"/>
      <c r="J23" s="11"/>
      <c r="K23" s="11"/>
      <c r="L23" s="11"/>
      <c r="M23" s="12"/>
      <c r="N23" s="12"/>
      <c r="O23" s="12"/>
      <c r="P23" s="12"/>
      <c r="Q23" s="12"/>
      <c r="R23" s="12"/>
      <c r="S23" s="13" t="str">
        <f aca="false">IF(COUNT(G23:L23)=0,"",SUM(G23:L23))</f>
        <v/>
      </c>
      <c r="T23" s="14" t="str">
        <f aca="false">IF(COUNT(M23:R23)=0,"",SUM(M23:R23))</f>
        <v/>
      </c>
      <c r="U23" s="9"/>
      <c r="V23" s="15"/>
      <c r="Y23" s="16" t="str">
        <f aca="false">IF(AND(A23="",B23="",D23="",COUNT(G23:L23)=0),"",IF(D23="","Missing shooter",IF(A23="","Missing date",IF(B23="","Missing event",IF(E23="","Club not in roster (type manually)",IF(COUNT(G23:L23)=0,"No scores entered",IF(U23="","Set status (official/provisional)",IF(COUNTIFS($A$2:$A$101,A23,$B$2:$B$101,B23,$D$2:$D$101,D23)&gt;1,"Duplicate entry","OK to upload"))))))))</f>
        <v/>
      </c>
    </row>
    <row r="24" customFormat="false" ht="15" hidden="false" customHeight="true" outlineLevel="0" collapsed="false">
      <c r="A24" s="8"/>
      <c r="B24" s="9"/>
      <c r="C24" s="9"/>
      <c r="D24" s="9"/>
      <c r="E24" s="10" t="str">
        <f aca="false">IFERROR(IF(D24="","",VLOOKUP(D24,Members!$A$2:$C$16,2,FALSE())),"")</f>
        <v/>
      </c>
      <c r="F24" s="10" t="str">
        <f aca="false">IFERROR(IF(D24="","",VLOOKUP(D24,Members!$A$2:$C$16,3,FALSE())),"")</f>
        <v/>
      </c>
      <c r="G24" s="11"/>
      <c r="H24" s="11"/>
      <c r="I24" s="11"/>
      <c r="J24" s="11"/>
      <c r="K24" s="11"/>
      <c r="L24" s="11"/>
      <c r="M24" s="12"/>
      <c r="N24" s="12"/>
      <c r="O24" s="12"/>
      <c r="P24" s="12"/>
      <c r="Q24" s="12"/>
      <c r="R24" s="12"/>
      <c r="S24" s="13" t="str">
        <f aca="false">IF(COUNT(G24:L24)=0,"",SUM(G24:L24))</f>
        <v/>
      </c>
      <c r="T24" s="14" t="str">
        <f aca="false">IF(COUNT(M24:R24)=0,"",SUM(M24:R24))</f>
        <v/>
      </c>
      <c r="U24" s="9"/>
      <c r="V24" s="15"/>
      <c r="Y24" s="16" t="str">
        <f aca="false">IF(AND(A24="",B24="",D24="",COUNT(G24:L24)=0),"",IF(D24="","Missing shooter",IF(A24="","Missing date",IF(B24="","Missing event",IF(E24="","Club not in roster (type manually)",IF(COUNT(G24:L24)=0,"No scores entered",IF(U24="","Set status (official/provisional)",IF(COUNTIFS($A$2:$A$101,A24,$B$2:$B$101,B24,$D$2:$D$101,D24)&gt;1,"Duplicate entry","OK to upload"))))))))</f>
        <v/>
      </c>
    </row>
    <row r="25" customFormat="false" ht="15" hidden="false" customHeight="true" outlineLevel="0" collapsed="false">
      <c r="A25" s="8"/>
      <c r="B25" s="9"/>
      <c r="C25" s="9"/>
      <c r="D25" s="9"/>
      <c r="E25" s="10" t="str">
        <f aca="false">IFERROR(IF(D25="","",VLOOKUP(D25,Members!$A$2:$C$16,2,FALSE())),"")</f>
        <v/>
      </c>
      <c r="F25" s="10" t="str">
        <f aca="false">IFERROR(IF(D25="","",VLOOKUP(D25,Members!$A$2:$C$16,3,FALSE())),"")</f>
        <v/>
      </c>
      <c r="G25" s="11"/>
      <c r="H25" s="11"/>
      <c r="I25" s="11"/>
      <c r="J25" s="11"/>
      <c r="K25" s="11"/>
      <c r="L25" s="11"/>
      <c r="M25" s="12"/>
      <c r="N25" s="12"/>
      <c r="O25" s="12"/>
      <c r="P25" s="12"/>
      <c r="Q25" s="12"/>
      <c r="R25" s="12"/>
      <c r="S25" s="13" t="str">
        <f aca="false">IF(COUNT(G25:L25)=0,"",SUM(G25:L25))</f>
        <v/>
      </c>
      <c r="T25" s="14" t="str">
        <f aca="false">IF(COUNT(M25:R25)=0,"",SUM(M25:R25))</f>
        <v/>
      </c>
      <c r="U25" s="9"/>
      <c r="V25" s="15"/>
      <c r="Y25" s="16" t="str">
        <f aca="false">IF(AND(A25="",B25="",D25="",COUNT(G25:L25)=0),"",IF(D25="","Missing shooter",IF(A25="","Missing date",IF(B25="","Missing event",IF(E25="","Club not in roster (type manually)",IF(COUNT(G25:L25)=0,"No scores entered",IF(U25="","Set status (official/provisional)",IF(COUNTIFS($A$2:$A$101,A25,$B$2:$B$101,B25,$D$2:$D$101,D25)&gt;1,"Duplicate entry","OK to upload"))))))))</f>
        <v/>
      </c>
    </row>
    <row r="26" customFormat="false" ht="15" hidden="false" customHeight="true" outlineLevel="0" collapsed="false">
      <c r="A26" s="8"/>
      <c r="B26" s="9"/>
      <c r="C26" s="9"/>
      <c r="D26" s="9"/>
      <c r="E26" s="10" t="str">
        <f aca="false">IFERROR(IF(D26="","",VLOOKUP(D26,Members!$A$2:$C$16,2,FALSE())),"")</f>
        <v/>
      </c>
      <c r="F26" s="10" t="str">
        <f aca="false">IFERROR(IF(D26="","",VLOOKUP(D26,Members!$A$2:$C$16,3,FALSE())),"")</f>
        <v/>
      </c>
      <c r="G26" s="11"/>
      <c r="H26" s="11"/>
      <c r="I26" s="11"/>
      <c r="J26" s="11"/>
      <c r="K26" s="11"/>
      <c r="L26" s="11"/>
      <c r="M26" s="12"/>
      <c r="N26" s="12"/>
      <c r="O26" s="12"/>
      <c r="P26" s="12"/>
      <c r="Q26" s="12"/>
      <c r="R26" s="12"/>
      <c r="S26" s="13" t="str">
        <f aca="false">IF(COUNT(G26:L26)=0,"",SUM(G26:L26))</f>
        <v/>
      </c>
      <c r="T26" s="14" t="str">
        <f aca="false">IF(COUNT(M26:R26)=0,"",SUM(M26:R26))</f>
        <v/>
      </c>
      <c r="U26" s="9"/>
      <c r="V26" s="15"/>
      <c r="Y26" s="16" t="str">
        <f aca="false">IF(AND(A26="",B26="",D26="",COUNT(G26:L26)=0),"",IF(D26="","Missing shooter",IF(A26="","Missing date",IF(B26="","Missing event",IF(E26="","Club not in roster (type manually)",IF(COUNT(G26:L26)=0,"No scores entered",IF(U26="","Set status (official/provisional)",IF(COUNTIFS($A$2:$A$101,A26,$B$2:$B$101,B26,$D$2:$D$101,D26)&gt;1,"Duplicate entry","OK to upload"))))))))</f>
        <v/>
      </c>
    </row>
    <row r="27" customFormat="false" ht="15" hidden="false" customHeight="true" outlineLevel="0" collapsed="false">
      <c r="A27" s="8"/>
      <c r="B27" s="9"/>
      <c r="C27" s="9"/>
      <c r="D27" s="9"/>
      <c r="E27" s="10" t="str">
        <f aca="false">IFERROR(IF(D27="","",VLOOKUP(D27,Members!$A$2:$C$16,2,FALSE())),"")</f>
        <v/>
      </c>
      <c r="F27" s="10" t="str">
        <f aca="false">IFERROR(IF(D27="","",VLOOKUP(D27,Members!$A$2:$C$16,3,FALSE())),"")</f>
        <v/>
      </c>
      <c r="G27" s="11"/>
      <c r="H27" s="11"/>
      <c r="I27" s="11"/>
      <c r="J27" s="11"/>
      <c r="K27" s="11"/>
      <c r="L27" s="11"/>
      <c r="M27" s="12"/>
      <c r="N27" s="12"/>
      <c r="O27" s="12"/>
      <c r="P27" s="12"/>
      <c r="Q27" s="12"/>
      <c r="R27" s="12"/>
      <c r="S27" s="13" t="str">
        <f aca="false">IF(COUNT(G27:L27)=0,"",SUM(G27:L27))</f>
        <v/>
      </c>
      <c r="T27" s="14" t="str">
        <f aca="false">IF(COUNT(M27:R27)=0,"",SUM(M27:R27))</f>
        <v/>
      </c>
      <c r="U27" s="9"/>
      <c r="V27" s="15"/>
      <c r="Y27" s="16" t="str">
        <f aca="false">IF(AND(A27="",B27="",D27="",COUNT(G27:L27)=0),"",IF(D27="","Missing shooter",IF(A27="","Missing date",IF(B27="","Missing event",IF(E27="","Club not in roster (type manually)",IF(COUNT(G27:L27)=0,"No scores entered",IF(U27="","Set status (official/provisional)",IF(COUNTIFS($A$2:$A$101,A27,$B$2:$B$101,B27,$D$2:$D$101,D27)&gt;1,"Duplicate entry","OK to upload"))))))))</f>
        <v/>
      </c>
    </row>
    <row r="28" customFormat="false" ht="15" hidden="false" customHeight="true" outlineLevel="0" collapsed="false">
      <c r="A28" s="8"/>
      <c r="B28" s="9"/>
      <c r="C28" s="9"/>
      <c r="D28" s="9"/>
      <c r="E28" s="10" t="str">
        <f aca="false">IFERROR(IF(D28="","",VLOOKUP(D28,Members!$A$2:$C$16,2,FALSE())),"")</f>
        <v/>
      </c>
      <c r="F28" s="10" t="str">
        <f aca="false">IFERROR(IF(D28="","",VLOOKUP(D28,Members!$A$2:$C$16,3,FALSE())),"")</f>
        <v/>
      </c>
      <c r="G28" s="11"/>
      <c r="H28" s="11"/>
      <c r="I28" s="11"/>
      <c r="J28" s="11"/>
      <c r="K28" s="11"/>
      <c r="L28" s="11"/>
      <c r="M28" s="12"/>
      <c r="N28" s="12"/>
      <c r="O28" s="12"/>
      <c r="P28" s="12"/>
      <c r="Q28" s="12"/>
      <c r="R28" s="12"/>
      <c r="S28" s="13" t="str">
        <f aca="false">IF(COUNT(G28:L28)=0,"",SUM(G28:L28))</f>
        <v/>
      </c>
      <c r="T28" s="14" t="str">
        <f aca="false">IF(COUNT(M28:R28)=0,"",SUM(M28:R28))</f>
        <v/>
      </c>
      <c r="U28" s="9"/>
      <c r="V28" s="15"/>
      <c r="Y28" s="16" t="str">
        <f aca="false">IF(AND(A28="",B28="",D28="",COUNT(G28:L28)=0),"",IF(D28="","Missing shooter",IF(A28="","Missing date",IF(B28="","Missing event",IF(E28="","Club not in roster (type manually)",IF(COUNT(G28:L28)=0,"No scores entered",IF(U28="","Set status (official/provisional)",IF(COUNTIFS($A$2:$A$101,A28,$B$2:$B$101,B28,$D$2:$D$101,D28)&gt;1,"Duplicate entry","OK to upload"))))))))</f>
        <v/>
      </c>
    </row>
    <row r="29" customFormat="false" ht="15" hidden="false" customHeight="true" outlineLevel="0" collapsed="false">
      <c r="A29" s="8"/>
      <c r="B29" s="9"/>
      <c r="C29" s="9"/>
      <c r="D29" s="9"/>
      <c r="E29" s="10" t="str">
        <f aca="false">IFERROR(IF(D29="","",VLOOKUP(D29,Members!$A$2:$C$16,2,FALSE())),"")</f>
        <v/>
      </c>
      <c r="F29" s="10" t="str">
        <f aca="false">IFERROR(IF(D29="","",VLOOKUP(D29,Members!$A$2:$C$16,3,FALSE())),"")</f>
        <v/>
      </c>
      <c r="G29" s="11"/>
      <c r="H29" s="11"/>
      <c r="I29" s="11"/>
      <c r="J29" s="11"/>
      <c r="K29" s="11"/>
      <c r="L29" s="11"/>
      <c r="M29" s="12"/>
      <c r="N29" s="12"/>
      <c r="O29" s="12"/>
      <c r="P29" s="12"/>
      <c r="Q29" s="12"/>
      <c r="R29" s="12"/>
      <c r="S29" s="13" t="str">
        <f aca="false">IF(COUNT(G29:L29)=0,"",SUM(G29:L29))</f>
        <v/>
      </c>
      <c r="T29" s="14" t="str">
        <f aca="false">IF(COUNT(M29:R29)=0,"",SUM(M29:R29))</f>
        <v/>
      </c>
      <c r="U29" s="9"/>
      <c r="V29" s="15"/>
      <c r="Y29" s="16" t="str">
        <f aca="false">IF(AND(A29="",B29="",D29="",COUNT(G29:L29)=0),"",IF(D29="","Missing shooter",IF(A29="","Missing date",IF(B29="","Missing event",IF(E29="","Club not in roster (type manually)",IF(COUNT(G29:L29)=0,"No scores entered",IF(U29="","Set status (official/provisional)",IF(COUNTIFS($A$2:$A$101,A29,$B$2:$B$101,B29,$D$2:$D$101,D29)&gt;1,"Duplicate entry","OK to upload"))))))))</f>
        <v/>
      </c>
    </row>
    <row r="30" customFormat="false" ht="15" hidden="false" customHeight="true" outlineLevel="0" collapsed="false">
      <c r="A30" s="8"/>
      <c r="B30" s="9"/>
      <c r="C30" s="9"/>
      <c r="D30" s="9"/>
      <c r="E30" s="10" t="str">
        <f aca="false">IFERROR(IF(D30="","",VLOOKUP(D30,Members!$A$2:$C$16,2,FALSE())),"")</f>
        <v/>
      </c>
      <c r="F30" s="10" t="str">
        <f aca="false">IFERROR(IF(D30="","",VLOOKUP(D30,Members!$A$2:$C$16,3,FALSE())),"")</f>
        <v/>
      </c>
      <c r="G30" s="11"/>
      <c r="H30" s="11"/>
      <c r="I30" s="11"/>
      <c r="J30" s="11"/>
      <c r="K30" s="11"/>
      <c r="L30" s="11"/>
      <c r="M30" s="12"/>
      <c r="N30" s="12"/>
      <c r="O30" s="12"/>
      <c r="P30" s="12"/>
      <c r="Q30" s="12"/>
      <c r="R30" s="12"/>
      <c r="S30" s="13" t="str">
        <f aca="false">IF(COUNT(G30:L30)=0,"",SUM(G30:L30))</f>
        <v/>
      </c>
      <c r="T30" s="14" t="str">
        <f aca="false">IF(COUNT(M30:R30)=0,"",SUM(M30:R30))</f>
        <v/>
      </c>
      <c r="U30" s="9"/>
      <c r="V30" s="15"/>
      <c r="Y30" s="16" t="str">
        <f aca="false">IF(AND(A30="",B30="",D30="",COUNT(G30:L30)=0),"",IF(D30="","Missing shooter",IF(A30="","Missing date",IF(B30="","Missing event",IF(E30="","Club not in roster (type manually)",IF(COUNT(G30:L30)=0,"No scores entered",IF(U30="","Set status (official/provisional)",IF(COUNTIFS($A$2:$A$101,A30,$B$2:$B$101,B30,$D$2:$D$101,D30)&gt;1,"Duplicate entry","OK to upload"))))))))</f>
        <v/>
      </c>
    </row>
    <row r="31" customFormat="false" ht="15" hidden="false" customHeight="true" outlineLevel="0" collapsed="false">
      <c r="A31" s="8"/>
      <c r="B31" s="9"/>
      <c r="C31" s="9"/>
      <c r="D31" s="9"/>
      <c r="E31" s="10" t="str">
        <f aca="false">IFERROR(IF(D31="","",VLOOKUP(D31,Members!$A$2:$C$16,2,FALSE())),"")</f>
        <v/>
      </c>
      <c r="F31" s="10" t="str">
        <f aca="false">IFERROR(IF(D31="","",VLOOKUP(D31,Members!$A$2:$C$16,3,FALSE())),"")</f>
        <v/>
      </c>
      <c r="G31" s="11"/>
      <c r="H31" s="11"/>
      <c r="I31" s="11"/>
      <c r="J31" s="11"/>
      <c r="K31" s="11"/>
      <c r="L31" s="11"/>
      <c r="M31" s="12"/>
      <c r="N31" s="12"/>
      <c r="O31" s="12"/>
      <c r="P31" s="12"/>
      <c r="Q31" s="12"/>
      <c r="R31" s="12"/>
      <c r="S31" s="13" t="str">
        <f aca="false">IF(COUNT(G31:L31)=0,"",SUM(G31:L31))</f>
        <v/>
      </c>
      <c r="T31" s="14" t="str">
        <f aca="false">IF(COUNT(M31:R31)=0,"",SUM(M31:R31))</f>
        <v/>
      </c>
      <c r="U31" s="9"/>
      <c r="V31" s="15"/>
      <c r="Y31" s="16" t="str">
        <f aca="false">IF(AND(A31="",B31="",D31="",COUNT(G31:L31)=0),"",IF(D31="","Missing shooter",IF(A31="","Missing date",IF(B31="","Missing event",IF(E31="","Club not in roster (type manually)",IF(COUNT(G31:L31)=0,"No scores entered",IF(U31="","Set status (official/provisional)",IF(COUNTIFS($A$2:$A$101,A31,$B$2:$B$101,B31,$D$2:$D$101,D31)&gt;1,"Duplicate entry","OK to upload"))))))))</f>
        <v/>
      </c>
    </row>
    <row r="32" customFormat="false" ht="15" hidden="false" customHeight="true" outlineLevel="0" collapsed="false">
      <c r="A32" s="8"/>
      <c r="B32" s="9"/>
      <c r="C32" s="9"/>
      <c r="D32" s="9"/>
      <c r="E32" s="10" t="str">
        <f aca="false">IFERROR(IF(D32="","",VLOOKUP(D32,Members!$A$2:$C$16,2,FALSE())),"")</f>
        <v/>
      </c>
      <c r="F32" s="10" t="str">
        <f aca="false">IFERROR(IF(D32="","",VLOOKUP(D32,Members!$A$2:$C$16,3,FALSE())),"")</f>
        <v/>
      </c>
      <c r="G32" s="11"/>
      <c r="H32" s="11"/>
      <c r="I32" s="11"/>
      <c r="J32" s="11"/>
      <c r="K32" s="11"/>
      <c r="L32" s="11"/>
      <c r="M32" s="12"/>
      <c r="N32" s="12"/>
      <c r="O32" s="12"/>
      <c r="P32" s="12"/>
      <c r="Q32" s="12"/>
      <c r="R32" s="12"/>
      <c r="S32" s="13" t="str">
        <f aca="false">IF(COUNT(G32:L32)=0,"",SUM(G32:L32))</f>
        <v/>
      </c>
      <c r="T32" s="14" t="str">
        <f aca="false">IF(COUNT(M32:R32)=0,"",SUM(M32:R32))</f>
        <v/>
      </c>
      <c r="U32" s="9"/>
      <c r="V32" s="15"/>
      <c r="Y32" s="16" t="str">
        <f aca="false">IF(AND(A32="",B32="",D32="",COUNT(G32:L32)=0),"",IF(D32="","Missing shooter",IF(A32="","Missing date",IF(B32="","Missing event",IF(E32="","Club not in roster (type manually)",IF(COUNT(G32:L32)=0,"No scores entered",IF(U32="","Set status (official/provisional)",IF(COUNTIFS($A$2:$A$101,A32,$B$2:$B$101,B32,$D$2:$D$101,D32)&gt;1,"Duplicate entry","OK to upload"))))))))</f>
        <v/>
      </c>
    </row>
    <row r="33" customFormat="false" ht="15" hidden="false" customHeight="true" outlineLevel="0" collapsed="false">
      <c r="A33" s="8"/>
      <c r="B33" s="9"/>
      <c r="C33" s="9"/>
      <c r="D33" s="9"/>
      <c r="E33" s="10" t="str">
        <f aca="false">IFERROR(IF(D33="","",VLOOKUP(D33,Members!$A$2:$C$16,2,FALSE())),"")</f>
        <v/>
      </c>
      <c r="F33" s="10" t="str">
        <f aca="false">IFERROR(IF(D33="","",VLOOKUP(D33,Members!$A$2:$C$16,3,FALSE())),"")</f>
        <v/>
      </c>
      <c r="G33" s="11"/>
      <c r="H33" s="11"/>
      <c r="I33" s="11"/>
      <c r="J33" s="11"/>
      <c r="K33" s="11"/>
      <c r="L33" s="11"/>
      <c r="M33" s="12"/>
      <c r="N33" s="12"/>
      <c r="O33" s="12"/>
      <c r="P33" s="12"/>
      <c r="Q33" s="12"/>
      <c r="R33" s="12"/>
      <c r="S33" s="13" t="str">
        <f aca="false">IF(COUNT(G33:L33)=0,"",SUM(G33:L33))</f>
        <v/>
      </c>
      <c r="T33" s="14" t="str">
        <f aca="false">IF(COUNT(M33:R33)=0,"",SUM(M33:R33))</f>
        <v/>
      </c>
      <c r="U33" s="9"/>
      <c r="V33" s="15"/>
      <c r="Y33" s="16" t="str">
        <f aca="false">IF(AND(A33="",B33="",D33="",COUNT(G33:L33)=0),"",IF(D33="","Missing shooter",IF(A33="","Missing date",IF(B33="","Missing event",IF(E33="","Club not in roster (type manually)",IF(COUNT(G33:L33)=0,"No scores entered",IF(U33="","Set status (official/provisional)",IF(COUNTIFS($A$2:$A$101,A33,$B$2:$B$101,B33,$D$2:$D$101,D33)&gt;1,"Duplicate entry","OK to upload"))))))))</f>
        <v/>
      </c>
    </row>
    <row r="34" customFormat="false" ht="15" hidden="false" customHeight="true" outlineLevel="0" collapsed="false">
      <c r="A34" s="8"/>
      <c r="B34" s="9"/>
      <c r="C34" s="9"/>
      <c r="D34" s="9"/>
      <c r="E34" s="10" t="str">
        <f aca="false">IFERROR(IF(D34="","",VLOOKUP(D34,Members!$A$2:$C$16,2,FALSE())),"")</f>
        <v/>
      </c>
      <c r="F34" s="10" t="str">
        <f aca="false">IFERROR(IF(D34="","",VLOOKUP(D34,Members!$A$2:$C$16,3,FALSE())),"")</f>
        <v/>
      </c>
      <c r="G34" s="11"/>
      <c r="H34" s="11"/>
      <c r="I34" s="11"/>
      <c r="J34" s="11"/>
      <c r="K34" s="11"/>
      <c r="L34" s="11"/>
      <c r="M34" s="12"/>
      <c r="N34" s="12"/>
      <c r="O34" s="12"/>
      <c r="P34" s="12"/>
      <c r="Q34" s="12"/>
      <c r="R34" s="12"/>
      <c r="S34" s="13" t="str">
        <f aca="false">IF(COUNT(G34:L34)=0,"",SUM(G34:L34))</f>
        <v/>
      </c>
      <c r="T34" s="14" t="str">
        <f aca="false">IF(COUNT(M34:R34)=0,"",SUM(M34:R34))</f>
        <v/>
      </c>
      <c r="U34" s="9"/>
      <c r="V34" s="15"/>
      <c r="Y34" s="16" t="str">
        <f aca="false">IF(AND(A34="",B34="",D34="",COUNT(G34:L34)=0),"",IF(D34="","Missing shooter",IF(A34="","Missing date",IF(B34="","Missing event",IF(E34="","Club not in roster (type manually)",IF(COUNT(G34:L34)=0,"No scores entered",IF(U34="","Set status (official/provisional)",IF(COUNTIFS($A$2:$A$101,A34,$B$2:$B$101,B34,$D$2:$D$101,D34)&gt;1,"Duplicate entry","OK to upload"))))))))</f>
        <v/>
      </c>
    </row>
    <row r="35" customFormat="false" ht="15" hidden="false" customHeight="true" outlineLevel="0" collapsed="false">
      <c r="A35" s="8"/>
      <c r="B35" s="9"/>
      <c r="C35" s="9"/>
      <c r="D35" s="9"/>
      <c r="E35" s="10" t="str">
        <f aca="false">IFERROR(IF(D35="","",VLOOKUP(D35,Members!$A$2:$C$16,2,FALSE())),"")</f>
        <v/>
      </c>
      <c r="F35" s="10" t="str">
        <f aca="false">IFERROR(IF(D35="","",VLOOKUP(D35,Members!$A$2:$C$16,3,FALSE())),"")</f>
        <v/>
      </c>
      <c r="G35" s="11"/>
      <c r="H35" s="11"/>
      <c r="I35" s="11"/>
      <c r="J35" s="11"/>
      <c r="K35" s="11"/>
      <c r="L35" s="11"/>
      <c r="M35" s="12"/>
      <c r="N35" s="12"/>
      <c r="O35" s="12"/>
      <c r="P35" s="12"/>
      <c r="Q35" s="12"/>
      <c r="R35" s="12"/>
      <c r="S35" s="13" t="str">
        <f aca="false">IF(COUNT(G35:L35)=0,"",SUM(G35:L35))</f>
        <v/>
      </c>
      <c r="T35" s="14" t="str">
        <f aca="false">IF(COUNT(M35:R35)=0,"",SUM(M35:R35))</f>
        <v/>
      </c>
      <c r="U35" s="9"/>
      <c r="V35" s="15"/>
      <c r="Y35" s="16" t="str">
        <f aca="false">IF(AND(A35="",B35="",D35="",COUNT(G35:L35)=0),"",IF(D35="","Missing shooter",IF(A35="","Missing date",IF(B35="","Missing event",IF(E35="","Club not in roster (type manually)",IF(COUNT(G35:L35)=0,"No scores entered",IF(U35="","Set status (official/provisional)",IF(COUNTIFS($A$2:$A$101,A35,$B$2:$B$101,B35,$D$2:$D$101,D35)&gt;1,"Duplicate entry","OK to upload"))))))))</f>
        <v/>
      </c>
    </row>
    <row r="36" customFormat="false" ht="15" hidden="false" customHeight="true" outlineLevel="0" collapsed="false">
      <c r="A36" s="8"/>
      <c r="B36" s="9"/>
      <c r="C36" s="9"/>
      <c r="D36" s="9"/>
      <c r="E36" s="10" t="str">
        <f aca="false">IFERROR(IF(D36="","",VLOOKUP(D36,Members!$A$2:$C$16,2,FALSE())),"")</f>
        <v/>
      </c>
      <c r="F36" s="10" t="str">
        <f aca="false">IFERROR(IF(D36="","",VLOOKUP(D36,Members!$A$2:$C$16,3,FALSE())),"")</f>
        <v/>
      </c>
      <c r="G36" s="11"/>
      <c r="H36" s="11"/>
      <c r="I36" s="11"/>
      <c r="J36" s="11"/>
      <c r="K36" s="11"/>
      <c r="L36" s="11"/>
      <c r="M36" s="12"/>
      <c r="N36" s="12"/>
      <c r="O36" s="12"/>
      <c r="P36" s="12"/>
      <c r="Q36" s="12"/>
      <c r="R36" s="12"/>
      <c r="S36" s="13" t="str">
        <f aca="false">IF(COUNT(G36:L36)=0,"",SUM(G36:L36))</f>
        <v/>
      </c>
      <c r="T36" s="14" t="str">
        <f aca="false">IF(COUNT(M36:R36)=0,"",SUM(M36:R36))</f>
        <v/>
      </c>
      <c r="U36" s="9"/>
      <c r="V36" s="15"/>
      <c r="Y36" s="16" t="str">
        <f aca="false">IF(AND(A36="",B36="",D36="",COUNT(G36:L36)=0),"",IF(D36="","Missing shooter",IF(A36="","Missing date",IF(B36="","Missing event",IF(E36="","Club not in roster (type manually)",IF(COUNT(G36:L36)=0,"No scores entered",IF(U36="","Set status (official/provisional)",IF(COUNTIFS($A$2:$A$101,A36,$B$2:$B$101,B36,$D$2:$D$101,D36)&gt;1,"Duplicate entry","OK to upload"))))))))</f>
        <v/>
      </c>
    </row>
    <row r="37" customFormat="false" ht="15" hidden="false" customHeight="true" outlineLevel="0" collapsed="false">
      <c r="A37" s="8"/>
      <c r="B37" s="9"/>
      <c r="C37" s="9"/>
      <c r="D37" s="9"/>
      <c r="E37" s="10" t="str">
        <f aca="false">IFERROR(IF(D37="","",VLOOKUP(D37,Members!$A$2:$C$16,2,FALSE())),"")</f>
        <v/>
      </c>
      <c r="F37" s="10" t="str">
        <f aca="false">IFERROR(IF(D37="","",VLOOKUP(D37,Members!$A$2:$C$16,3,FALSE())),"")</f>
        <v/>
      </c>
      <c r="G37" s="11"/>
      <c r="H37" s="11"/>
      <c r="I37" s="11"/>
      <c r="J37" s="11"/>
      <c r="K37" s="11"/>
      <c r="L37" s="11"/>
      <c r="M37" s="12"/>
      <c r="N37" s="12"/>
      <c r="O37" s="12"/>
      <c r="P37" s="12"/>
      <c r="Q37" s="12"/>
      <c r="R37" s="12"/>
      <c r="S37" s="13" t="str">
        <f aca="false">IF(COUNT(G37:L37)=0,"",SUM(G37:L37))</f>
        <v/>
      </c>
      <c r="T37" s="14" t="str">
        <f aca="false">IF(COUNT(M37:R37)=0,"",SUM(M37:R37))</f>
        <v/>
      </c>
      <c r="U37" s="9"/>
      <c r="V37" s="15"/>
      <c r="Y37" s="16" t="str">
        <f aca="false">IF(AND(A37="",B37="",D37="",COUNT(G37:L37)=0),"",IF(D37="","Missing shooter",IF(A37="","Missing date",IF(B37="","Missing event",IF(E37="","Club not in roster (type manually)",IF(COUNT(G37:L37)=0,"No scores entered",IF(U37="","Set status (official/provisional)",IF(COUNTIFS($A$2:$A$101,A37,$B$2:$B$101,B37,$D$2:$D$101,D37)&gt;1,"Duplicate entry","OK to upload"))))))))</f>
        <v/>
      </c>
    </row>
    <row r="38" customFormat="false" ht="15" hidden="false" customHeight="true" outlineLevel="0" collapsed="false">
      <c r="A38" s="8"/>
      <c r="B38" s="9"/>
      <c r="C38" s="9"/>
      <c r="D38" s="9"/>
      <c r="E38" s="10" t="str">
        <f aca="false">IFERROR(IF(D38="","",VLOOKUP(D38,Members!$A$2:$C$16,2,FALSE())),"")</f>
        <v/>
      </c>
      <c r="F38" s="10" t="str">
        <f aca="false">IFERROR(IF(D38="","",VLOOKUP(D38,Members!$A$2:$C$16,3,FALSE())),"")</f>
        <v/>
      </c>
      <c r="G38" s="11"/>
      <c r="H38" s="11"/>
      <c r="I38" s="11"/>
      <c r="J38" s="11"/>
      <c r="K38" s="11"/>
      <c r="L38" s="11"/>
      <c r="M38" s="12"/>
      <c r="N38" s="12"/>
      <c r="O38" s="12"/>
      <c r="P38" s="12"/>
      <c r="Q38" s="12"/>
      <c r="R38" s="12"/>
      <c r="S38" s="13" t="str">
        <f aca="false">IF(COUNT(G38:L38)=0,"",SUM(G38:L38))</f>
        <v/>
      </c>
      <c r="T38" s="14" t="str">
        <f aca="false">IF(COUNT(M38:R38)=0,"",SUM(M38:R38))</f>
        <v/>
      </c>
      <c r="U38" s="9"/>
      <c r="V38" s="15"/>
      <c r="Y38" s="16" t="str">
        <f aca="false">IF(AND(A38="",B38="",D38="",COUNT(G38:L38)=0),"",IF(D38="","Missing shooter",IF(A38="","Missing date",IF(B38="","Missing event",IF(E38="","Club not in roster (type manually)",IF(COUNT(G38:L38)=0,"No scores entered",IF(U38="","Set status (official/provisional)",IF(COUNTIFS($A$2:$A$101,A38,$B$2:$B$101,B38,$D$2:$D$101,D38)&gt;1,"Duplicate entry","OK to upload"))))))))</f>
        <v/>
      </c>
    </row>
    <row r="39" customFormat="false" ht="15" hidden="false" customHeight="true" outlineLevel="0" collapsed="false">
      <c r="A39" s="8"/>
      <c r="B39" s="9"/>
      <c r="C39" s="9"/>
      <c r="D39" s="9"/>
      <c r="E39" s="10" t="str">
        <f aca="false">IFERROR(IF(D39="","",VLOOKUP(D39,Members!$A$2:$C$16,2,FALSE())),"")</f>
        <v/>
      </c>
      <c r="F39" s="10" t="str">
        <f aca="false">IFERROR(IF(D39="","",VLOOKUP(D39,Members!$A$2:$C$16,3,FALSE())),"")</f>
        <v/>
      </c>
      <c r="G39" s="11"/>
      <c r="H39" s="11"/>
      <c r="I39" s="11"/>
      <c r="J39" s="11"/>
      <c r="K39" s="11"/>
      <c r="L39" s="11"/>
      <c r="M39" s="12"/>
      <c r="N39" s="12"/>
      <c r="O39" s="12"/>
      <c r="P39" s="12"/>
      <c r="Q39" s="12"/>
      <c r="R39" s="12"/>
      <c r="S39" s="13" t="str">
        <f aca="false">IF(COUNT(G39:L39)=0,"",SUM(G39:L39))</f>
        <v/>
      </c>
      <c r="T39" s="14" t="str">
        <f aca="false">IF(COUNT(M39:R39)=0,"",SUM(M39:R39))</f>
        <v/>
      </c>
      <c r="U39" s="9"/>
      <c r="V39" s="15"/>
      <c r="Y39" s="16" t="str">
        <f aca="false">IF(AND(A39="",B39="",D39="",COUNT(G39:L39)=0),"",IF(D39="","Missing shooter",IF(A39="","Missing date",IF(B39="","Missing event",IF(E39="","Club not in roster (type manually)",IF(COUNT(G39:L39)=0,"No scores entered",IF(U39="","Set status (official/provisional)",IF(COUNTIFS($A$2:$A$101,A39,$B$2:$B$101,B39,$D$2:$D$101,D39)&gt;1,"Duplicate entry","OK to upload"))))))))</f>
        <v/>
      </c>
    </row>
    <row r="40" customFormat="false" ht="15" hidden="false" customHeight="true" outlineLevel="0" collapsed="false">
      <c r="A40" s="8"/>
      <c r="B40" s="9"/>
      <c r="C40" s="9"/>
      <c r="D40" s="9"/>
      <c r="E40" s="10" t="str">
        <f aca="false">IFERROR(IF(D40="","",VLOOKUP(D40,Members!$A$2:$C$16,2,FALSE())),"")</f>
        <v/>
      </c>
      <c r="F40" s="10" t="str">
        <f aca="false">IFERROR(IF(D40="","",VLOOKUP(D40,Members!$A$2:$C$16,3,FALSE())),"")</f>
        <v/>
      </c>
      <c r="G40" s="11"/>
      <c r="H40" s="11"/>
      <c r="I40" s="11"/>
      <c r="J40" s="11"/>
      <c r="K40" s="11"/>
      <c r="L40" s="11"/>
      <c r="M40" s="12"/>
      <c r="N40" s="12"/>
      <c r="O40" s="12"/>
      <c r="P40" s="12"/>
      <c r="Q40" s="12"/>
      <c r="R40" s="12"/>
      <c r="S40" s="13" t="str">
        <f aca="false">IF(COUNT(G40:L40)=0,"",SUM(G40:L40))</f>
        <v/>
      </c>
      <c r="T40" s="14" t="str">
        <f aca="false">IF(COUNT(M40:R40)=0,"",SUM(M40:R40))</f>
        <v/>
      </c>
      <c r="U40" s="9"/>
      <c r="V40" s="15"/>
      <c r="Y40" s="16" t="str">
        <f aca="false">IF(AND(A40="",B40="",D40="",COUNT(G40:L40)=0),"",IF(D40="","Missing shooter",IF(A40="","Missing date",IF(B40="","Missing event",IF(E40="","Club not in roster (type manually)",IF(COUNT(G40:L40)=0,"No scores entered",IF(U40="","Set status (official/provisional)",IF(COUNTIFS($A$2:$A$101,A40,$B$2:$B$101,B40,$D$2:$D$101,D40)&gt;1,"Duplicate entry","OK to upload"))))))))</f>
        <v/>
      </c>
    </row>
    <row r="41" customFormat="false" ht="15" hidden="false" customHeight="true" outlineLevel="0" collapsed="false">
      <c r="A41" s="8"/>
      <c r="B41" s="9"/>
      <c r="C41" s="9"/>
      <c r="D41" s="9"/>
      <c r="E41" s="10" t="str">
        <f aca="false">IFERROR(IF(D41="","",VLOOKUP(D41,Members!$A$2:$C$16,2,FALSE())),"")</f>
        <v/>
      </c>
      <c r="F41" s="10" t="str">
        <f aca="false">IFERROR(IF(D41="","",VLOOKUP(D41,Members!$A$2:$C$16,3,FALSE())),"")</f>
        <v/>
      </c>
      <c r="G41" s="11"/>
      <c r="H41" s="11"/>
      <c r="I41" s="11"/>
      <c r="J41" s="11"/>
      <c r="K41" s="11"/>
      <c r="L41" s="11"/>
      <c r="M41" s="12"/>
      <c r="N41" s="12"/>
      <c r="O41" s="12"/>
      <c r="P41" s="12"/>
      <c r="Q41" s="12"/>
      <c r="R41" s="12"/>
      <c r="S41" s="13" t="str">
        <f aca="false">IF(COUNT(G41:L41)=0,"",SUM(G41:L41))</f>
        <v/>
      </c>
      <c r="T41" s="14" t="str">
        <f aca="false">IF(COUNT(M41:R41)=0,"",SUM(M41:R41))</f>
        <v/>
      </c>
      <c r="U41" s="9"/>
      <c r="V41" s="15"/>
      <c r="Y41" s="16" t="str">
        <f aca="false">IF(AND(A41="",B41="",D41="",COUNT(G41:L41)=0),"",IF(D41="","Missing shooter",IF(A41="","Missing date",IF(B41="","Missing event",IF(E41="","Club not in roster (type manually)",IF(COUNT(G41:L41)=0,"No scores entered",IF(U41="","Set status (official/provisional)",IF(COUNTIFS($A$2:$A$101,A41,$B$2:$B$101,B41,$D$2:$D$101,D41)&gt;1,"Duplicate entry","OK to upload"))))))))</f>
        <v/>
      </c>
    </row>
    <row r="42" customFormat="false" ht="15" hidden="false" customHeight="true" outlineLevel="0" collapsed="false">
      <c r="A42" s="8"/>
      <c r="B42" s="9"/>
      <c r="C42" s="9"/>
      <c r="D42" s="9"/>
      <c r="E42" s="10" t="str">
        <f aca="false">IFERROR(IF(D42="","",VLOOKUP(D42,Members!$A$2:$C$16,2,FALSE())),"")</f>
        <v/>
      </c>
      <c r="F42" s="10" t="str">
        <f aca="false">IFERROR(IF(D42="","",VLOOKUP(D42,Members!$A$2:$C$16,3,FALSE())),"")</f>
        <v/>
      </c>
      <c r="G42" s="11"/>
      <c r="H42" s="11"/>
      <c r="I42" s="11"/>
      <c r="J42" s="11"/>
      <c r="K42" s="11"/>
      <c r="L42" s="11"/>
      <c r="M42" s="12"/>
      <c r="N42" s="12"/>
      <c r="O42" s="12"/>
      <c r="P42" s="12"/>
      <c r="Q42" s="12"/>
      <c r="R42" s="12"/>
      <c r="S42" s="13" t="str">
        <f aca="false">IF(COUNT(G42:L42)=0,"",SUM(G42:L42))</f>
        <v/>
      </c>
      <c r="T42" s="14" t="str">
        <f aca="false">IF(COUNT(M42:R42)=0,"",SUM(M42:R42))</f>
        <v/>
      </c>
      <c r="U42" s="9"/>
      <c r="V42" s="15"/>
      <c r="Y42" s="16" t="str">
        <f aca="false">IF(AND(A42="",B42="",D42="",COUNT(G42:L42)=0),"",IF(D42="","Missing shooter",IF(A42="","Missing date",IF(B42="","Missing event",IF(E42="","Club not in roster (type manually)",IF(COUNT(G42:L42)=0,"No scores entered",IF(U42="","Set status (official/provisional)",IF(COUNTIFS($A$2:$A$101,A42,$B$2:$B$101,B42,$D$2:$D$101,D42)&gt;1,"Duplicate entry","OK to upload"))))))))</f>
        <v/>
      </c>
    </row>
    <row r="43" customFormat="false" ht="15" hidden="false" customHeight="true" outlineLevel="0" collapsed="false">
      <c r="A43" s="8"/>
      <c r="B43" s="9"/>
      <c r="C43" s="9"/>
      <c r="D43" s="9"/>
      <c r="E43" s="10" t="str">
        <f aca="false">IFERROR(IF(D43="","",VLOOKUP(D43,Members!$A$2:$C$16,2,FALSE())),"")</f>
        <v/>
      </c>
      <c r="F43" s="10" t="str">
        <f aca="false">IFERROR(IF(D43="","",VLOOKUP(D43,Members!$A$2:$C$16,3,FALSE())),"")</f>
        <v/>
      </c>
      <c r="G43" s="11"/>
      <c r="H43" s="11"/>
      <c r="I43" s="11"/>
      <c r="J43" s="11"/>
      <c r="K43" s="11"/>
      <c r="L43" s="11"/>
      <c r="M43" s="12"/>
      <c r="N43" s="12"/>
      <c r="O43" s="12"/>
      <c r="P43" s="12"/>
      <c r="Q43" s="12"/>
      <c r="R43" s="12"/>
      <c r="S43" s="13" t="str">
        <f aca="false">IF(COUNT(G43:L43)=0,"",SUM(G43:L43))</f>
        <v/>
      </c>
      <c r="T43" s="14" t="str">
        <f aca="false">IF(COUNT(M43:R43)=0,"",SUM(M43:R43))</f>
        <v/>
      </c>
      <c r="U43" s="9"/>
      <c r="V43" s="15"/>
      <c r="Y43" s="16" t="str">
        <f aca="false">IF(AND(A43="",B43="",D43="",COUNT(G43:L43)=0),"",IF(D43="","Missing shooter",IF(A43="","Missing date",IF(B43="","Missing event",IF(E43="","Club not in roster (type manually)",IF(COUNT(G43:L43)=0,"No scores entered",IF(U43="","Set status (official/provisional)",IF(COUNTIFS($A$2:$A$101,A43,$B$2:$B$101,B43,$D$2:$D$101,D43)&gt;1,"Duplicate entry","OK to upload"))))))))</f>
        <v/>
      </c>
    </row>
    <row r="44" customFormat="false" ht="15" hidden="false" customHeight="true" outlineLevel="0" collapsed="false">
      <c r="A44" s="8"/>
      <c r="B44" s="9"/>
      <c r="C44" s="9"/>
      <c r="D44" s="9"/>
      <c r="E44" s="10" t="str">
        <f aca="false">IFERROR(IF(D44="","",VLOOKUP(D44,Members!$A$2:$C$16,2,FALSE())),"")</f>
        <v/>
      </c>
      <c r="F44" s="10" t="str">
        <f aca="false">IFERROR(IF(D44="","",VLOOKUP(D44,Members!$A$2:$C$16,3,FALSE())),"")</f>
        <v/>
      </c>
      <c r="G44" s="11"/>
      <c r="H44" s="11"/>
      <c r="I44" s="11"/>
      <c r="J44" s="11"/>
      <c r="K44" s="11"/>
      <c r="L44" s="11"/>
      <c r="M44" s="12"/>
      <c r="N44" s="12"/>
      <c r="O44" s="12"/>
      <c r="P44" s="12"/>
      <c r="Q44" s="12"/>
      <c r="R44" s="12"/>
      <c r="S44" s="13" t="str">
        <f aca="false">IF(COUNT(G44:L44)=0,"",SUM(G44:L44))</f>
        <v/>
      </c>
      <c r="T44" s="14" t="str">
        <f aca="false">IF(COUNT(M44:R44)=0,"",SUM(M44:R44))</f>
        <v/>
      </c>
      <c r="U44" s="9"/>
      <c r="V44" s="15"/>
      <c r="Y44" s="16" t="str">
        <f aca="false">IF(AND(A44="",B44="",D44="",COUNT(G44:L44)=0),"",IF(D44="","Missing shooter",IF(A44="","Missing date",IF(B44="","Missing event",IF(E44="","Club not in roster (type manually)",IF(COUNT(G44:L44)=0,"No scores entered",IF(U44="","Set status (official/provisional)",IF(COUNTIFS($A$2:$A$101,A44,$B$2:$B$101,B44,$D$2:$D$101,D44)&gt;1,"Duplicate entry","OK to upload"))))))))</f>
        <v/>
      </c>
    </row>
    <row r="45" customFormat="false" ht="15" hidden="false" customHeight="true" outlineLevel="0" collapsed="false">
      <c r="A45" s="8"/>
      <c r="B45" s="9"/>
      <c r="C45" s="9"/>
      <c r="D45" s="9"/>
      <c r="E45" s="10" t="str">
        <f aca="false">IFERROR(IF(D45="","",VLOOKUP(D45,Members!$A$2:$C$16,2,FALSE())),"")</f>
        <v/>
      </c>
      <c r="F45" s="10" t="str">
        <f aca="false">IFERROR(IF(D45="","",VLOOKUP(D45,Members!$A$2:$C$16,3,FALSE())),"")</f>
        <v/>
      </c>
      <c r="G45" s="11"/>
      <c r="H45" s="11"/>
      <c r="I45" s="11"/>
      <c r="J45" s="11"/>
      <c r="K45" s="11"/>
      <c r="L45" s="11"/>
      <c r="M45" s="12"/>
      <c r="N45" s="12"/>
      <c r="O45" s="12"/>
      <c r="P45" s="12"/>
      <c r="Q45" s="12"/>
      <c r="R45" s="12"/>
      <c r="S45" s="13" t="str">
        <f aca="false">IF(COUNT(G45:L45)=0,"",SUM(G45:L45))</f>
        <v/>
      </c>
      <c r="T45" s="14" t="str">
        <f aca="false">IF(COUNT(M45:R45)=0,"",SUM(M45:R45))</f>
        <v/>
      </c>
      <c r="U45" s="9"/>
      <c r="V45" s="15"/>
      <c r="Y45" s="16" t="str">
        <f aca="false">IF(AND(A45="",B45="",D45="",COUNT(G45:L45)=0),"",IF(D45="","Missing shooter",IF(A45="","Missing date",IF(B45="","Missing event",IF(E45="","Club not in roster (type manually)",IF(COUNT(G45:L45)=0,"No scores entered",IF(U45="","Set status (official/provisional)",IF(COUNTIFS($A$2:$A$101,A45,$B$2:$B$101,B45,$D$2:$D$101,D45)&gt;1,"Duplicate entry","OK to upload"))))))))</f>
        <v/>
      </c>
    </row>
    <row r="46" customFormat="false" ht="15" hidden="false" customHeight="true" outlineLevel="0" collapsed="false">
      <c r="A46" s="8"/>
      <c r="B46" s="9"/>
      <c r="C46" s="9"/>
      <c r="D46" s="9"/>
      <c r="E46" s="10" t="str">
        <f aca="false">IFERROR(IF(D46="","",VLOOKUP(D46,Members!$A$2:$C$16,2,FALSE())),"")</f>
        <v/>
      </c>
      <c r="F46" s="10" t="str">
        <f aca="false">IFERROR(IF(D46="","",VLOOKUP(D46,Members!$A$2:$C$16,3,FALSE())),"")</f>
        <v/>
      </c>
      <c r="G46" s="11"/>
      <c r="H46" s="11"/>
      <c r="I46" s="11"/>
      <c r="J46" s="11"/>
      <c r="K46" s="11"/>
      <c r="L46" s="11"/>
      <c r="M46" s="12"/>
      <c r="N46" s="12"/>
      <c r="O46" s="12"/>
      <c r="P46" s="12"/>
      <c r="Q46" s="12"/>
      <c r="R46" s="12"/>
      <c r="S46" s="13" t="str">
        <f aca="false">IF(COUNT(G46:L46)=0,"",SUM(G46:L46))</f>
        <v/>
      </c>
      <c r="T46" s="14" t="str">
        <f aca="false">IF(COUNT(M46:R46)=0,"",SUM(M46:R46))</f>
        <v/>
      </c>
      <c r="U46" s="9"/>
      <c r="V46" s="15"/>
      <c r="Y46" s="16" t="str">
        <f aca="false">IF(AND(A46="",B46="",D46="",COUNT(G46:L46)=0),"",IF(D46="","Missing shooter",IF(A46="","Missing date",IF(B46="","Missing event",IF(E46="","Club not in roster (type manually)",IF(COUNT(G46:L46)=0,"No scores entered",IF(U46="","Set status (official/provisional)",IF(COUNTIFS($A$2:$A$101,A46,$B$2:$B$101,B46,$D$2:$D$101,D46)&gt;1,"Duplicate entry","OK to upload"))))))))</f>
        <v/>
      </c>
    </row>
    <row r="47" customFormat="false" ht="15" hidden="false" customHeight="true" outlineLevel="0" collapsed="false">
      <c r="A47" s="8"/>
      <c r="B47" s="9"/>
      <c r="C47" s="9"/>
      <c r="D47" s="9"/>
      <c r="E47" s="10" t="str">
        <f aca="false">IFERROR(IF(D47="","",VLOOKUP(D47,Members!$A$2:$C$16,2,FALSE())),"")</f>
        <v/>
      </c>
      <c r="F47" s="10" t="str">
        <f aca="false">IFERROR(IF(D47="","",VLOOKUP(D47,Members!$A$2:$C$16,3,FALSE())),"")</f>
        <v/>
      </c>
      <c r="G47" s="11"/>
      <c r="H47" s="11"/>
      <c r="I47" s="11"/>
      <c r="J47" s="11"/>
      <c r="K47" s="11"/>
      <c r="L47" s="11"/>
      <c r="M47" s="12"/>
      <c r="N47" s="12"/>
      <c r="O47" s="12"/>
      <c r="P47" s="12"/>
      <c r="Q47" s="12"/>
      <c r="R47" s="12"/>
      <c r="S47" s="13" t="str">
        <f aca="false">IF(COUNT(G47:L47)=0,"",SUM(G47:L47))</f>
        <v/>
      </c>
      <c r="T47" s="14" t="str">
        <f aca="false">IF(COUNT(M47:R47)=0,"",SUM(M47:R47))</f>
        <v/>
      </c>
      <c r="U47" s="9"/>
      <c r="V47" s="15"/>
      <c r="Y47" s="16" t="str">
        <f aca="false">IF(AND(A47="",B47="",D47="",COUNT(G47:L47)=0),"",IF(D47="","Missing shooter",IF(A47="","Missing date",IF(B47="","Missing event",IF(E47="","Club not in roster (type manually)",IF(COUNT(G47:L47)=0,"No scores entered",IF(U47="","Set status (official/provisional)",IF(COUNTIFS($A$2:$A$101,A47,$B$2:$B$101,B47,$D$2:$D$101,D47)&gt;1,"Duplicate entry","OK to upload"))))))))</f>
        <v/>
      </c>
    </row>
    <row r="48" customFormat="false" ht="15" hidden="false" customHeight="true" outlineLevel="0" collapsed="false">
      <c r="A48" s="8"/>
      <c r="B48" s="9"/>
      <c r="C48" s="9"/>
      <c r="D48" s="9"/>
      <c r="E48" s="10" t="str">
        <f aca="false">IFERROR(IF(D48="","",VLOOKUP(D48,Members!$A$2:$C$16,2,FALSE())),"")</f>
        <v/>
      </c>
      <c r="F48" s="10" t="str">
        <f aca="false">IFERROR(IF(D48="","",VLOOKUP(D48,Members!$A$2:$C$16,3,FALSE())),"")</f>
        <v/>
      </c>
      <c r="G48" s="11"/>
      <c r="H48" s="11"/>
      <c r="I48" s="11"/>
      <c r="J48" s="11"/>
      <c r="K48" s="11"/>
      <c r="L48" s="11"/>
      <c r="M48" s="12"/>
      <c r="N48" s="12"/>
      <c r="O48" s="12"/>
      <c r="P48" s="12"/>
      <c r="Q48" s="12"/>
      <c r="R48" s="12"/>
      <c r="S48" s="13" t="str">
        <f aca="false">IF(COUNT(G48:L48)=0,"",SUM(G48:L48))</f>
        <v/>
      </c>
      <c r="T48" s="14" t="str">
        <f aca="false">IF(COUNT(M48:R48)=0,"",SUM(M48:R48))</f>
        <v/>
      </c>
      <c r="U48" s="9"/>
      <c r="V48" s="15"/>
      <c r="Y48" s="16" t="str">
        <f aca="false">IF(AND(A48="",B48="",D48="",COUNT(G48:L48)=0),"",IF(D48="","Missing shooter",IF(A48="","Missing date",IF(B48="","Missing event",IF(E48="","Club not in roster (type manually)",IF(COUNT(G48:L48)=0,"No scores entered",IF(U48="","Set status (official/provisional)",IF(COUNTIFS($A$2:$A$101,A48,$B$2:$B$101,B48,$D$2:$D$101,D48)&gt;1,"Duplicate entry","OK to upload"))))))))</f>
        <v/>
      </c>
    </row>
    <row r="49" customFormat="false" ht="15" hidden="false" customHeight="true" outlineLevel="0" collapsed="false">
      <c r="A49" s="8"/>
      <c r="B49" s="9"/>
      <c r="C49" s="9"/>
      <c r="D49" s="9"/>
      <c r="E49" s="10" t="str">
        <f aca="false">IFERROR(IF(D49="","",VLOOKUP(D49,Members!$A$2:$C$16,2,FALSE())),"")</f>
        <v/>
      </c>
      <c r="F49" s="10" t="str">
        <f aca="false">IFERROR(IF(D49="","",VLOOKUP(D49,Members!$A$2:$C$16,3,FALSE())),"")</f>
        <v/>
      </c>
      <c r="G49" s="11"/>
      <c r="H49" s="11"/>
      <c r="I49" s="11"/>
      <c r="J49" s="11"/>
      <c r="K49" s="11"/>
      <c r="L49" s="11"/>
      <c r="M49" s="12"/>
      <c r="N49" s="12"/>
      <c r="O49" s="12"/>
      <c r="P49" s="12"/>
      <c r="Q49" s="12"/>
      <c r="R49" s="12"/>
      <c r="S49" s="13" t="str">
        <f aca="false">IF(COUNT(G49:L49)=0,"",SUM(G49:L49))</f>
        <v/>
      </c>
      <c r="T49" s="14" t="str">
        <f aca="false">IF(COUNT(M49:R49)=0,"",SUM(M49:R49))</f>
        <v/>
      </c>
      <c r="U49" s="9"/>
      <c r="V49" s="15"/>
      <c r="Y49" s="16" t="str">
        <f aca="false">IF(AND(A49="",B49="",D49="",COUNT(G49:L49)=0),"",IF(D49="","Missing shooter",IF(A49="","Missing date",IF(B49="","Missing event",IF(E49="","Club not in roster (type manually)",IF(COUNT(G49:L49)=0,"No scores entered",IF(U49="","Set status (official/provisional)",IF(COUNTIFS($A$2:$A$101,A49,$B$2:$B$101,B49,$D$2:$D$101,D49)&gt;1,"Duplicate entry","OK to upload"))))))))</f>
        <v/>
      </c>
    </row>
    <row r="50" customFormat="false" ht="15" hidden="false" customHeight="true" outlineLevel="0" collapsed="false">
      <c r="A50" s="8"/>
      <c r="B50" s="9"/>
      <c r="C50" s="9"/>
      <c r="D50" s="9"/>
      <c r="E50" s="10" t="str">
        <f aca="false">IFERROR(IF(D50="","",VLOOKUP(D50,Members!$A$2:$C$16,2,FALSE())),"")</f>
        <v/>
      </c>
      <c r="F50" s="10" t="str">
        <f aca="false">IFERROR(IF(D50="","",VLOOKUP(D50,Members!$A$2:$C$16,3,FALSE())),"")</f>
        <v/>
      </c>
      <c r="G50" s="11"/>
      <c r="H50" s="11"/>
      <c r="I50" s="11"/>
      <c r="J50" s="11"/>
      <c r="K50" s="11"/>
      <c r="L50" s="11"/>
      <c r="M50" s="12"/>
      <c r="N50" s="12"/>
      <c r="O50" s="12"/>
      <c r="P50" s="12"/>
      <c r="Q50" s="12"/>
      <c r="R50" s="12"/>
      <c r="S50" s="13" t="str">
        <f aca="false">IF(COUNT(G50:L50)=0,"",SUM(G50:L50))</f>
        <v/>
      </c>
      <c r="T50" s="14" t="str">
        <f aca="false">IF(COUNT(M50:R50)=0,"",SUM(M50:R50))</f>
        <v/>
      </c>
      <c r="U50" s="9"/>
      <c r="V50" s="15"/>
      <c r="Y50" s="16" t="str">
        <f aca="false">IF(AND(A50="",B50="",D50="",COUNT(G50:L50)=0),"",IF(D50="","Missing shooter",IF(A50="","Missing date",IF(B50="","Missing event",IF(E50="","Club not in roster (type manually)",IF(COUNT(G50:L50)=0,"No scores entered",IF(U50="","Set status (official/provisional)",IF(COUNTIFS($A$2:$A$101,A50,$B$2:$B$101,B50,$D$2:$D$101,D50)&gt;1,"Duplicate entry","OK to upload"))))))))</f>
        <v/>
      </c>
    </row>
    <row r="51" customFormat="false" ht="15" hidden="false" customHeight="true" outlineLevel="0" collapsed="false">
      <c r="A51" s="8"/>
      <c r="B51" s="9"/>
      <c r="C51" s="9"/>
      <c r="D51" s="9"/>
      <c r="E51" s="10" t="str">
        <f aca="false">IFERROR(IF(D51="","",VLOOKUP(D51,Members!$A$2:$C$16,2,FALSE())),"")</f>
        <v/>
      </c>
      <c r="F51" s="10" t="str">
        <f aca="false">IFERROR(IF(D51="","",VLOOKUP(D51,Members!$A$2:$C$16,3,FALSE())),"")</f>
        <v/>
      </c>
      <c r="G51" s="11"/>
      <c r="H51" s="11"/>
      <c r="I51" s="11"/>
      <c r="J51" s="11"/>
      <c r="K51" s="11"/>
      <c r="L51" s="11"/>
      <c r="M51" s="12"/>
      <c r="N51" s="12"/>
      <c r="O51" s="12"/>
      <c r="P51" s="12"/>
      <c r="Q51" s="12"/>
      <c r="R51" s="12"/>
      <c r="S51" s="13" t="str">
        <f aca="false">IF(COUNT(G51:L51)=0,"",SUM(G51:L51))</f>
        <v/>
      </c>
      <c r="T51" s="14" t="str">
        <f aca="false">IF(COUNT(M51:R51)=0,"",SUM(M51:R51))</f>
        <v/>
      </c>
      <c r="U51" s="9"/>
      <c r="V51" s="15"/>
      <c r="Y51" s="16" t="str">
        <f aca="false">IF(AND(A51="",B51="",D51="",COUNT(G51:L51)=0),"",IF(D51="","Missing shooter",IF(A51="","Missing date",IF(B51="","Missing event",IF(E51="","Club not in roster (type manually)",IF(COUNT(G51:L51)=0,"No scores entered",IF(U51="","Set status (official/provisional)",IF(COUNTIFS($A$2:$A$101,A51,$B$2:$B$101,B51,$D$2:$D$101,D51)&gt;1,"Duplicate entry","OK to upload"))))))))</f>
        <v/>
      </c>
    </row>
    <row r="52" customFormat="false" ht="15" hidden="false" customHeight="true" outlineLevel="0" collapsed="false">
      <c r="A52" s="8"/>
      <c r="B52" s="9"/>
      <c r="C52" s="9"/>
      <c r="D52" s="9"/>
      <c r="E52" s="10" t="str">
        <f aca="false">IFERROR(IF(D52="","",VLOOKUP(D52,Members!$A$2:$C$16,2,FALSE())),"")</f>
        <v/>
      </c>
      <c r="F52" s="10" t="str">
        <f aca="false">IFERROR(IF(D52="","",VLOOKUP(D52,Members!$A$2:$C$16,3,FALSE())),"")</f>
        <v/>
      </c>
      <c r="G52" s="11"/>
      <c r="H52" s="11"/>
      <c r="I52" s="11"/>
      <c r="J52" s="11"/>
      <c r="K52" s="11"/>
      <c r="L52" s="11"/>
      <c r="M52" s="12"/>
      <c r="N52" s="12"/>
      <c r="O52" s="12"/>
      <c r="P52" s="12"/>
      <c r="Q52" s="12"/>
      <c r="R52" s="12"/>
      <c r="S52" s="13" t="str">
        <f aca="false">IF(COUNT(G52:L52)=0,"",SUM(G52:L52))</f>
        <v/>
      </c>
      <c r="T52" s="14" t="str">
        <f aca="false">IF(COUNT(M52:R52)=0,"",SUM(M52:R52))</f>
        <v/>
      </c>
      <c r="U52" s="9"/>
      <c r="V52" s="15"/>
      <c r="Y52" s="16" t="str">
        <f aca="false">IF(AND(A52="",B52="",D52="",COUNT(G52:L52)=0),"",IF(D52="","Missing shooter",IF(A52="","Missing date",IF(B52="","Missing event",IF(E52="","Club not in roster (type manually)",IF(COUNT(G52:L52)=0,"No scores entered",IF(U52="","Set status (official/provisional)",IF(COUNTIFS($A$2:$A$101,A52,$B$2:$B$101,B52,$D$2:$D$101,D52)&gt;1,"Duplicate entry","OK to upload"))))))))</f>
        <v/>
      </c>
    </row>
    <row r="53" customFormat="false" ht="15" hidden="false" customHeight="true" outlineLevel="0" collapsed="false">
      <c r="A53" s="8"/>
      <c r="B53" s="9"/>
      <c r="C53" s="9"/>
      <c r="D53" s="9"/>
      <c r="E53" s="10" t="str">
        <f aca="false">IFERROR(IF(D53="","",VLOOKUP(D53,Members!$A$2:$C$16,2,FALSE())),"")</f>
        <v/>
      </c>
      <c r="F53" s="10" t="str">
        <f aca="false">IFERROR(IF(D53="","",VLOOKUP(D53,Members!$A$2:$C$16,3,FALSE())),"")</f>
        <v/>
      </c>
      <c r="G53" s="11"/>
      <c r="H53" s="11"/>
      <c r="I53" s="11"/>
      <c r="J53" s="11"/>
      <c r="K53" s="11"/>
      <c r="L53" s="11"/>
      <c r="M53" s="12"/>
      <c r="N53" s="12"/>
      <c r="O53" s="12"/>
      <c r="P53" s="12"/>
      <c r="Q53" s="12"/>
      <c r="R53" s="12"/>
      <c r="S53" s="13" t="str">
        <f aca="false">IF(COUNT(G53:L53)=0,"",SUM(G53:L53))</f>
        <v/>
      </c>
      <c r="T53" s="14" t="str">
        <f aca="false">IF(COUNT(M53:R53)=0,"",SUM(M53:R53))</f>
        <v/>
      </c>
      <c r="U53" s="9"/>
      <c r="V53" s="15"/>
      <c r="Y53" s="16" t="str">
        <f aca="false">IF(AND(A53="",B53="",D53="",COUNT(G53:L53)=0),"",IF(D53="","Missing shooter",IF(A53="","Missing date",IF(B53="","Missing event",IF(E53="","Club not in roster (type manually)",IF(COUNT(G53:L53)=0,"No scores entered",IF(U53="","Set status (official/provisional)",IF(COUNTIFS($A$2:$A$101,A53,$B$2:$B$101,B53,$D$2:$D$101,D53)&gt;1,"Duplicate entry","OK to upload"))))))))</f>
        <v/>
      </c>
    </row>
    <row r="54" customFormat="false" ht="15" hidden="false" customHeight="true" outlineLevel="0" collapsed="false">
      <c r="A54" s="8"/>
      <c r="B54" s="9"/>
      <c r="C54" s="9"/>
      <c r="D54" s="9"/>
      <c r="E54" s="10" t="str">
        <f aca="false">IFERROR(IF(D54="","",VLOOKUP(D54,Members!$A$2:$C$16,2,FALSE())),"")</f>
        <v/>
      </c>
      <c r="F54" s="10" t="str">
        <f aca="false">IFERROR(IF(D54="","",VLOOKUP(D54,Members!$A$2:$C$16,3,FALSE())),"")</f>
        <v/>
      </c>
      <c r="G54" s="11"/>
      <c r="H54" s="11"/>
      <c r="I54" s="11"/>
      <c r="J54" s="11"/>
      <c r="K54" s="11"/>
      <c r="L54" s="11"/>
      <c r="M54" s="12"/>
      <c r="N54" s="12"/>
      <c r="O54" s="12"/>
      <c r="P54" s="12"/>
      <c r="Q54" s="12"/>
      <c r="R54" s="12"/>
      <c r="S54" s="13" t="str">
        <f aca="false">IF(COUNT(G54:L54)=0,"",SUM(G54:L54))</f>
        <v/>
      </c>
      <c r="T54" s="14" t="str">
        <f aca="false">IF(COUNT(M54:R54)=0,"",SUM(M54:R54))</f>
        <v/>
      </c>
      <c r="U54" s="9"/>
      <c r="V54" s="15"/>
      <c r="Y54" s="16" t="str">
        <f aca="false">IF(AND(A54="",B54="",D54="",COUNT(G54:L54)=0),"",IF(D54="","Missing shooter",IF(A54="","Missing date",IF(B54="","Missing event",IF(E54="","Club not in roster (type manually)",IF(COUNT(G54:L54)=0,"No scores entered",IF(U54="","Set status (official/provisional)",IF(COUNTIFS($A$2:$A$101,A54,$B$2:$B$101,B54,$D$2:$D$101,D54)&gt;1,"Duplicate entry","OK to upload"))))))))</f>
        <v/>
      </c>
    </row>
    <row r="55" customFormat="false" ht="15" hidden="false" customHeight="true" outlineLevel="0" collapsed="false">
      <c r="A55" s="8"/>
      <c r="B55" s="9"/>
      <c r="C55" s="9"/>
      <c r="D55" s="9"/>
      <c r="E55" s="10" t="str">
        <f aca="false">IFERROR(IF(D55="","",VLOOKUP(D55,Members!$A$2:$C$16,2,FALSE())),"")</f>
        <v/>
      </c>
      <c r="F55" s="10" t="str">
        <f aca="false">IFERROR(IF(D55="","",VLOOKUP(D55,Members!$A$2:$C$16,3,FALSE())),"")</f>
        <v/>
      </c>
      <c r="G55" s="11"/>
      <c r="H55" s="11"/>
      <c r="I55" s="11"/>
      <c r="J55" s="11"/>
      <c r="K55" s="11"/>
      <c r="L55" s="11"/>
      <c r="M55" s="12"/>
      <c r="N55" s="12"/>
      <c r="O55" s="12"/>
      <c r="P55" s="12"/>
      <c r="Q55" s="12"/>
      <c r="R55" s="12"/>
      <c r="S55" s="13" t="str">
        <f aca="false">IF(COUNT(G55:L55)=0,"",SUM(G55:L55))</f>
        <v/>
      </c>
      <c r="T55" s="14" t="str">
        <f aca="false">IF(COUNT(M55:R55)=0,"",SUM(M55:R55))</f>
        <v/>
      </c>
      <c r="U55" s="9"/>
      <c r="V55" s="15"/>
      <c r="Y55" s="16" t="str">
        <f aca="false">IF(AND(A55="",B55="",D55="",COUNT(G55:L55)=0),"",IF(D55="","Missing shooter",IF(A55="","Missing date",IF(B55="","Missing event",IF(E55="","Club not in roster (type manually)",IF(COUNT(G55:L55)=0,"No scores entered",IF(U55="","Set status (official/provisional)",IF(COUNTIFS($A$2:$A$101,A55,$B$2:$B$101,B55,$D$2:$D$101,D55)&gt;1,"Duplicate entry","OK to upload"))))))))</f>
        <v/>
      </c>
    </row>
    <row r="56" customFormat="false" ht="15" hidden="false" customHeight="true" outlineLevel="0" collapsed="false">
      <c r="A56" s="8"/>
      <c r="B56" s="9"/>
      <c r="C56" s="9"/>
      <c r="D56" s="9"/>
      <c r="E56" s="10" t="str">
        <f aca="false">IFERROR(IF(D56="","",VLOOKUP(D56,Members!$A$2:$C$16,2,FALSE())),"")</f>
        <v/>
      </c>
      <c r="F56" s="10" t="str">
        <f aca="false">IFERROR(IF(D56="","",VLOOKUP(D56,Members!$A$2:$C$16,3,FALSE())),"")</f>
        <v/>
      </c>
      <c r="G56" s="11"/>
      <c r="H56" s="11"/>
      <c r="I56" s="11"/>
      <c r="J56" s="11"/>
      <c r="K56" s="11"/>
      <c r="L56" s="11"/>
      <c r="M56" s="12"/>
      <c r="N56" s="12"/>
      <c r="O56" s="12"/>
      <c r="P56" s="12"/>
      <c r="Q56" s="12"/>
      <c r="R56" s="12"/>
      <c r="S56" s="13" t="str">
        <f aca="false">IF(COUNT(G56:L56)=0,"",SUM(G56:L56))</f>
        <v/>
      </c>
      <c r="T56" s="14" t="str">
        <f aca="false">IF(COUNT(M56:R56)=0,"",SUM(M56:R56))</f>
        <v/>
      </c>
      <c r="U56" s="9"/>
      <c r="V56" s="15"/>
      <c r="Y56" s="16" t="str">
        <f aca="false">IF(AND(A56="",B56="",D56="",COUNT(G56:L56)=0),"",IF(D56="","Missing shooter",IF(A56="","Missing date",IF(B56="","Missing event",IF(E56="","Club not in roster (type manually)",IF(COUNT(G56:L56)=0,"No scores entered",IF(U56="","Set status (official/provisional)",IF(COUNTIFS($A$2:$A$101,A56,$B$2:$B$101,B56,$D$2:$D$101,D56)&gt;1,"Duplicate entry","OK to upload"))))))))</f>
        <v/>
      </c>
    </row>
    <row r="57" customFormat="false" ht="15" hidden="false" customHeight="true" outlineLevel="0" collapsed="false">
      <c r="A57" s="8"/>
      <c r="B57" s="9"/>
      <c r="C57" s="9"/>
      <c r="D57" s="9"/>
      <c r="E57" s="10" t="str">
        <f aca="false">IFERROR(IF(D57="","",VLOOKUP(D57,Members!$A$2:$C$16,2,FALSE())),"")</f>
        <v/>
      </c>
      <c r="F57" s="10" t="str">
        <f aca="false">IFERROR(IF(D57="","",VLOOKUP(D57,Members!$A$2:$C$16,3,FALSE())),"")</f>
        <v/>
      </c>
      <c r="G57" s="11"/>
      <c r="H57" s="11"/>
      <c r="I57" s="11"/>
      <c r="J57" s="11"/>
      <c r="K57" s="11"/>
      <c r="L57" s="11"/>
      <c r="M57" s="12"/>
      <c r="N57" s="12"/>
      <c r="O57" s="12"/>
      <c r="P57" s="12"/>
      <c r="Q57" s="12"/>
      <c r="R57" s="12"/>
      <c r="S57" s="13" t="str">
        <f aca="false">IF(COUNT(G57:L57)=0,"",SUM(G57:L57))</f>
        <v/>
      </c>
      <c r="T57" s="14" t="str">
        <f aca="false">IF(COUNT(M57:R57)=0,"",SUM(M57:R57))</f>
        <v/>
      </c>
      <c r="U57" s="9"/>
      <c r="V57" s="15"/>
      <c r="Y57" s="16" t="str">
        <f aca="false">IF(AND(A57="",B57="",D57="",COUNT(G57:L57)=0),"",IF(D57="","Missing shooter",IF(A57="","Missing date",IF(B57="","Missing event",IF(E57="","Club not in roster (type manually)",IF(COUNT(G57:L57)=0,"No scores entered",IF(U57="","Set status (official/provisional)",IF(COUNTIFS($A$2:$A$101,A57,$B$2:$B$101,B57,$D$2:$D$101,D57)&gt;1,"Duplicate entry","OK to upload"))))))))</f>
        <v/>
      </c>
    </row>
    <row r="58" customFormat="false" ht="15" hidden="false" customHeight="true" outlineLevel="0" collapsed="false">
      <c r="A58" s="8"/>
      <c r="B58" s="9"/>
      <c r="C58" s="9"/>
      <c r="D58" s="9"/>
      <c r="E58" s="10" t="str">
        <f aca="false">IFERROR(IF(D58="","",VLOOKUP(D58,Members!$A$2:$C$16,2,FALSE())),"")</f>
        <v/>
      </c>
      <c r="F58" s="10" t="str">
        <f aca="false">IFERROR(IF(D58="","",VLOOKUP(D58,Members!$A$2:$C$16,3,FALSE())),"")</f>
        <v/>
      </c>
      <c r="G58" s="11"/>
      <c r="H58" s="11"/>
      <c r="I58" s="11"/>
      <c r="J58" s="11"/>
      <c r="K58" s="11"/>
      <c r="L58" s="11"/>
      <c r="M58" s="12"/>
      <c r="N58" s="12"/>
      <c r="O58" s="12"/>
      <c r="P58" s="12"/>
      <c r="Q58" s="12"/>
      <c r="R58" s="12"/>
      <c r="S58" s="13" t="str">
        <f aca="false">IF(COUNT(G58:L58)=0,"",SUM(G58:L58))</f>
        <v/>
      </c>
      <c r="T58" s="14" t="str">
        <f aca="false">IF(COUNT(M58:R58)=0,"",SUM(M58:R58))</f>
        <v/>
      </c>
      <c r="U58" s="9"/>
      <c r="V58" s="15"/>
      <c r="Y58" s="16" t="str">
        <f aca="false">IF(AND(A58="",B58="",D58="",COUNT(G58:L58)=0),"",IF(D58="","Missing shooter",IF(A58="","Missing date",IF(B58="","Missing event",IF(E58="","Club not in roster (type manually)",IF(COUNT(G58:L58)=0,"No scores entered",IF(U58="","Set status (official/provisional)",IF(COUNTIFS($A$2:$A$101,A58,$B$2:$B$101,B58,$D$2:$D$101,D58)&gt;1,"Duplicate entry","OK to upload"))))))))</f>
        <v/>
      </c>
    </row>
    <row r="59" customFormat="false" ht="15" hidden="false" customHeight="true" outlineLevel="0" collapsed="false">
      <c r="A59" s="8"/>
      <c r="B59" s="9"/>
      <c r="C59" s="9"/>
      <c r="D59" s="9"/>
      <c r="E59" s="10" t="str">
        <f aca="false">IFERROR(IF(D59="","",VLOOKUP(D59,Members!$A$2:$C$16,2,FALSE())),"")</f>
        <v/>
      </c>
      <c r="F59" s="10" t="str">
        <f aca="false">IFERROR(IF(D59="","",VLOOKUP(D59,Members!$A$2:$C$16,3,FALSE())),"")</f>
        <v/>
      </c>
      <c r="G59" s="11"/>
      <c r="H59" s="11"/>
      <c r="I59" s="11"/>
      <c r="J59" s="11"/>
      <c r="K59" s="11"/>
      <c r="L59" s="11"/>
      <c r="M59" s="12"/>
      <c r="N59" s="12"/>
      <c r="O59" s="12"/>
      <c r="P59" s="12"/>
      <c r="Q59" s="12"/>
      <c r="R59" s="12"/>
      <c r="S59" s="13" t="str">
        <f aca="false">IF(COUNT(G59:L59)=0,"",SUM(G59:L59))</f>
        <v/>
      </c>
      <c r="T59" s="14" t="str">
        <f aca="false">IF(COUNT(M59:R59)=0,"",SUM(M59:R59))</f>
        <v/>
      </c>
      <c r="U59" s="9"/>
      <c r="V59" s="15"/>
      <c r="Y59" s="16" t="str">
        <f aca="false">IF(AND(A59="",B59="",D59="",COUNT(G59:L59)=0),"",IF(D59="","Missing shooter",IF(A59="","Missing date",IF(B59="","Missing event",IF(E59="","Club not in roster (type manually)",IF(COUNT(G59:L59)=0,"No scores entered",IF(U59="","Set status (official/provisional)",IF(COUNTIFS($A$2:$A$101,A59,$B$2:$B$101,B59,$D$2:$D$101,D59)&gt;1,"Duplicate entry","OK to upload"))))))))</f>
        <v/>
      </c>
    </row>
    <row r="60" customFormat="false" ht="15" hidden="false" customHeight="true" outlineLevel="0" collapsed="false">
      <c r="A60" s="8"/>
      <c r="B60" s="9"/>
      <c r="C60" s="9"/>
      <c r="D60" s="9"/>
      <c r="E60" s="10" t="str">
        <f aca="false">IFERROR(IF(D60="","",VLOOKUP(D60,Members!$A$2:$C$16,2,FALSE())),"")</f>
        <v/>
      </c>
      <c r="F60" s="10" t="str">
        <f aca="false">IFERROR(IF(D60="","",VLOOKUP(D60,Members!$A$2:$C$16,3,FALSE())),"")</f>
        <v/>
      </c>
      <c r="G60" s="11"/>
      <c r="H60" s="11"/>
      <c r="I60" s="11"/>
      <c r="J60" s="11"/>
      <c r="K60" s="11"/>
      <c r="L60" s="11"/>
      <c r="M60" s="12"/>
      <c r="N60" s="12"/>
      <c r="O60" s="12"/>
      <c r="P60" s="12"/>
      <c r="Q60" s="12"/>
      <c r="R60" s="12"/>
      <c r="S60" s="13" t="str">
        <f aca="false">IF(COUNT(G60:L60)=0,"",SUM(G60:L60))</f>
        <v/>
      </c>
      <c r="T60" s="14" t="str">
        <f aca="false">IF(COUNT(M60:R60)=0,"",SUM(M60:R60))</f>
        <v/>
      </c>
      <c r="U60" s="9"/>
      <c r="V60" s="15"/>
      <c r="Y60" s="16" t="str">
        <f aca="false">IF(AND(A60="",B60="",D60="",COUNT(G60:L60)=0),"",IF(D60="","Missing shooter",IF(A60="","Missing date",IF(B60="","Missing event",IF(E60="","Club not in roster (type manually)",IF(COUNT(G60:L60)=0,"No scores entered",IF(U60="","Set status (official/provisional)",IF(COUNTIFS($A$2:$A$101,A60,$B$2:$B$101,B60,$D$2:$D$101,D60)&gt;1,"Duplicate entry","OK to upload"))))))))</f>
        <v/>
      </c>
    </row>
    <row r="61" customFormat="false" ht="15" hidden="false" customHeight="true" outlineLevel="0" collapsed="false">
      <c r="A61" s="8"/>
      <c r="B61" s="9"/>
      <c r="C61" s="9"/>
      <c r="D61" s="9"/>
      <c r="E61" s="10" t="str">
        <f aca="false">IFERROR(IF(D61="","",VLOOKUP(D61,Members!$A$2:$C$16,2,FALSE())),"")</f>
        <v/>
      </c>
      <c r="F61" s="10" t="str">
        <f aca="false">IFERROR(IF(D61="","",VLOOKUP(D61,Members!$A$2:$C$16,3,FALSE())),"")</f>
        <v/>
      </c>
      <c r="G61" s="11"/>
      <c r="H61" s="11"/>
      <c r="I61" s="11"/>
      <c r="J61" s="11"/>
      <c r="K61" s="11"/>
      <c r="L61" s="11"/>
      <c r="M61" s="12"/>
      <c r="N61" s="12"/>
      <c r="O61" s="12"/>
      <c r="P61" s="12"/>
      <c r="Q61" s="12"/>
      <c r="R61" s="12"/>
      <c r="S61" s="13" t="str">
        <f aca="false">IF(COUNT(G61:L61)=0,"",SUM(G61:L61))</f>
        <v/>
      </c>
      <c r="T61" s="14" t="str">
        <f aca="false">IF(COUNT(M61:R61)=0,"",SUM(M61:R61))</f>
        <v/>
      </c>
      <c r="U61" s="9"/>
      <c r="V61" s="15"/>
      <c r="Y61" s="16" t="str">
        <f aca="false">IF(AND(A61="",B61="",D61="",COUNT(G61:L61)=0),"",IF(D61="","Missing shooter",IF(A61="","Missing date",IF(B61="","Missing event",IF(E61="","Club not in roster (type manually)",IF(COUNT(G61:L61)=0,"No scores entered",IF(U61="","Set status (official/provisional)",IF(COUNTIFS($A$2:$A$101,A61,$B$2:$B$101,B61,$D$2:$D$101,D61)&gt;1,"Duplicate entry","OK to upload"))))))))</f>
        <v/>
      </c>
    </row>
    <row r="62" customFormat="false" ht="15" hidden="false" customHeight="true" outlineLevel="0" collapsed="false">
      <c r="A62" s="8"/>
      <c r="B62" s="9"/>
      <c r="C62" s="9"/>
      <c r="D62" s="9"/>
      <c r="E62" s="10" t="str">
        <f aca="false">IFERROR(IF(D62="","",VLOOKUP(D62,Members!$A$2:$C$16,2,FALSE())),"")</f>
        <v/>
      </c>
      <c r="F62" s="10" t="str">
        <f aca="false">IFERROR(IF(D62="","",VLOOKUP(D62,Members!$A$2:$C$16,3,FALSE())),"")</f>
        <v/>
      </c>
      <c r="G62" s="11"/>
      <c r="H62" s="11"/>
      <c r="I62" s="11"/>
      <c r="J62" s="11"/>
      <c r="K62" s="11"/>
      <c r="L62" s="11"/>
      <c r="M62" s="12"/>
      <c r="N62" s="12"/>
      <c r="O62" s="12"/>
      <c r="P62" s="12"/>
      <c r="Q62" s="12"/>
      <c r="R62" s="12"/>
      <c r="S62" s="13" t="str">
        <f aca="false">IF(COUNT(G62:L62)=0,"",SUM(G62:L62))</f>
        <v/>
      </c>
      <c r="T62" s="14" t="str">
        <f aca="false">IF(COUNT(M62:R62)=0,"",SUM(M62:R62))</f>
        <v/>
      </c>
      <c r="U62" s="9"/>
      <c r="V62" s="15"/>
      <c r="Y62" s="16" t="str">
        <f aca="false">IF(AND(A62="",B62="",D62="",COUNT(G62:L62)=0),"",IF(D62="","Missing shooter",IF(A62="","Missing date",IF(B62="","Missing event",IF(E62="","Club not in roster (type manually)",IF(COUNT(G62:L62)=0,"No scores entered",IF(U62="","Set status (official/provisional)",IF(COUNTIFS($A$2:$A$101,A62,$B$2:$B$101,B62,$D$2:$D$101,D62)&gt;1,"Duplicate entry","OK to upload"))))))))</f>
        <v/>
      </c>
    </row>
    <row r="63" customFormat="false" ht="15" hidden="false" customHeight="true" outlineLevel="0" collapsed="false">
      <c r="A63" s="8"/>
      <c r="B63" s="9"/>
      <c r="C63" s="9"/>
      <c r="D63" s="9"/>
      <c r="E63" s="10" t="str">
        <f aca="false">IFERROR(IF(D63="","",VLOOKUP(D63,Members!$A$2:$C$16,2,FALSE())),"")</f>
        <v/>
      </c>
      <c r="F63" s="10" t="str">
        <f aca="false">IFERROR(IF(D63="","",VLOOKUP(D63,Members!$A$2:$C$16,3,FALSE())),"")</f>
        <v/>
      </c>
      <c r="G63" s="11"/>
      <c r="H63" s="11"/>
      <c r="I63" s="11"/>
      <c r="J63" s="11"/>
      <c r="K63" s="11"/>
      <c r="L63" s="11"/>
      <c r="M63" s="12"/>
      <c r="N63" s="12"/>
      <c r="O63" s="12"/>
      <c r="P63" s="12"/>
      <c r="Q63" s="12"/>
      <c r="R63" s="12"/>
      <c r="S63" s="13" t="str">
        <f aca="false">IF(COUNT(G63:L63)=0,"",SUM(G63:L63))</f>
        <v/>
      </c>
      <c r="T63" s="14" t="str">
        <f aca="false">IF(COUNT(M63:R63)=0,"",SUM(M63:R63))</f>
        <v/>
      </c>
      <c r="U63" s="9"/>
      <c r="V63" s="15"/>
      <c r="Y63" s="16" t="str">
        <f aca="false">IF(AND(A63="",B63="",D63="",COUNT(G63:L63)=0),"",IF(D63="","Missing shooter",IF(A63="","Missing date",IF(B63="","Missing event",IF(E63="","Club not in roster (type manually)",IF(COUNT(G63:L63)=0,"No scores entered",IF(U63="","Set status (official/provisional)",IF(COUNTIFS($A$2:$A$101,A63,$B$2:$B$101,B63,$D$2:$D$101,D63)&gt;1,"Duplicate entry","OK to upload"))))))))</f>
        <v/>
      </c>
    </row>
    <row r="64" customFormat="false" ht="15" hidden="false" customHeight="true" outlineLevel="0" collapsed="false">
      <c r="A64" s="8"/>
      <c r="B64" s="9"/>
      <c r="C64" s="9"/>
      <c r="D64" s="9"/>
      <c r="E64" s="10" t="str">
        <f aca="false">IFERROR(IF(D64="","",VLOOKUP(D64,Members!$A$2:$C$16,2,FALSE())),"")</f>
        <v/>
      </c>
      <c r="F64" s="10" t="str">
        <f aca="false">IFERROR(IF(D64="","",VLOOKUP(D64,Members!$A$2:$C$16,3,FALSE())),"")</f>
        <v/>
      </c>
      <c r="G64" s="11"/>
      <c r="H64" s="11"/>
      <c r="I64" s="11"/>
      <c r="J64" s="11"/>
      <c r="K64" s="11"/>
      <c r="L64" s="11"/>
      <c r="M64" s="12"/>
      <c r="N64" s="12"/>
      <c r="O64" s="12"/>
      <c r="P64" s="12"/>
      <c r="Q64" s="12"/>
      <c r="R64" s="12"/>
      <c r="S64" s="13" t="str">
        <f aca="false">IF(COUNT(G64:L64)=0,"",SUM(G64:L64))</f>
        <v/>
      </c>
      <c r="T64" s="14" t="str">
        <f aca="false">IF(COUNT(M64:R64)=0,"",SUM(M64:R64))</f>
        <v/>
      </c>
      <c r="U64" s="9"/>
      <c r="V64" s="15"/>
      <c r="Y64" s="16" t="str">
        <f aca="false">IF(AND(A64="",B64="",D64="",COUNT(G64:L64)=0),"",IF(D64="","Missing shooter",IF(A64="","Missing date",IF(B64="","Missing event",IF(E64="","Club not in roster (type manually)",IF(COUNT(G64:L64)=0,"No scores entered",IF(U64="","Set status (official/provisional)",IF(COUNTIFS($A$2:$A$101,A64,$B$2:$B$101,B64,$D$2:$D$101,D64)&gt;1,"Duplicate entry","OK to upload"))))))))</f>
        <v/>
      </c>
    </row>
    <row r="65" customFormat="false" ht="15" hidden="false" customHeight="true" outlineLevel="0" collapsed="false">
      <c r="A65" s="8"/>
      <c r="B65" s="9"/>
      <c r="C65" s="9"/>
      <c r="D65" s="9"/>
      <c r="E65" s="10" t="str">
        <f aca="false">IFERROR(IF(D65="","",VLOOKUP(D65,Members!$A$2:$C$16,2,FALSE())),"")</f>
        <v/>
      </c>
      <c r="F65" s="10" t="str">
        <f aca="false">IFERROR(IF(D65="","",VLOOKUP(D65,Members!$A$2:$C$16,3,FALSE())),"")</f>
        <v/>
      </c>
      <c r="G65" s="11"/>
      <c r="H65" s="11"/>
      <c r="I65" s="11"/>
      <c r="J65" s="11"/>
      <c r="K65" s="11"/>
      <c r="L65" s="11"/>
      <c r="M65" s="12"/>
      <c r="N65" s="12"/>
      <c r="O65" s="12"/>
      <c r="P65" s="12"/>
      <c r="Q65" s="12"/>
      <c r="R65" s="12"/>
      <c r="S65" s="13" t="str">
        <f aca="false">IF(COUNT(G65:L65)=0,"",SUM(G65:L65))</f>
        <v/>
      </c>
      <c r="T65" s="14" t="str">
        <f aca="false">IF(COUNT(M65:R65)=0,"",SUM(M65:R65))</f>
        <v/>
      </c>
      <c r="U65" s="9"/>
      <c r="V65" s="15"/>
      <c r="Y65" s="16" t="str">
        <f aca="false">IF(AND(A65="",B65="",D65="",COUNT(G65:L65)=0),"",IF(D65="","Missing shooter",IF(A65="","Missing date",IF(B65="","Missing event",IF(E65="","Club not in roster (type manually)",IF(COUNT(G65:L65)=0,"No scores entered",IF(U65="","Set status (official/provisional)",IF(COUNTIFS($A$2:$A$101,A65,$B$2:$B$101,B65,$D$2:$D$101,D65)&gt;1,"Duplicate entry","OK to upload"))))))))</f>
        <v/>
      </c>
    </row>
    <row r="66" customFormat="false" ht="15" hidden="false" customHeight="true" outlineLevel="0" collapsed="false">
      <c r="A66" s="8"/>
      <c r="B66" s="9"/>
      <c r="C66" s="9"/>
      <c r="D66" s="9"/>
      <c r="E66" s="10" t="str">
        <f aca="false">IFERROR(IF(D66="","",VLOOKUP(D66,Members!$A$2:$C$16,2,FALSE())),"")</f>
        <v/>
      </c>
      <c r="F66" s="10" t="str">
        <f aca="false">IFERROR(IF(D66="","",VLOOKUP(D66,Members!$A$2:$C$16,3,FALSE())),"")</f>
        <v/>
      </c>
      <c r="G66" s="11"/>
      <c r="H66" s="11"/>
      <c r="I66" s="11"/>
      <c r="J66" s="11"/>
      <c r="K66" s="11"/>
      <c r="L66" s="11"/>
      <c r="M66" s="12"/>
      <c r="N66" s="12"/>
      <c r="O66" s="12"/>
      <c r="P66" s="12"/>
      <c r="Q66" s="12"/>
      <c r="R66" s="12"/>
      <c r="S66" s="13" t="str">
        <f aca="false">IF(COUNT(G66:L66)=0,"",SUM(G66:L66))</f>
        <v/>
      </c>
      <c r="T66" s="14" t="str">
        <f aca="false">IF(COUNT(M66:R66)=0,"",SUM(M66:R66))</f>
        <v/>
      </c>
      <c r="U66" s="9"/>
      <c r="V66" s="15"/>
      <c r="Y66" s="16" t="str">
        <f aca="false">IF(AND(A66="",B66="",D66="",COUNT(G66:L66)=0),"",IF(D66="","Missing shooter",IF(A66="","Missing date",IF(B66="","Missing event",IF(E66="","Club not in roster (type manually)",IF(COUNT(G66:L66)=0,"No scores entered",IF(U66="","Set status (official/provisional)",IF(COUNTIFS($A$2:$A$101,A66,$B$2:$B$101,B66,$D$2:$D$101,D66)&gt;1,"Duplicate entry","OK to upload"))))))))</f>
        <v/>
      </c>
    </row>
    <row r="67" customFormat="false" ht="15" hidden="false" customHeight="true" outlineLevel="0" collapsed="false">
      <c r="A67" s="8"/>
      <c r="B67" s="9"/>
      <c r="C67" s="9"/>
      <c r="D67" s="9"/>
      <c r="E67" s="10" t="str">
        <f aca="false">IFERROR(IF(D67="","",VLOOKUP(D67,Members!$A$2:$C$16,2,FALSE())),"")</f>
        <v/>
      </c>
      <c r="F67" s="10" t="str">
        <f aca="false">IFERROR(IF(D67="","",VLOOKUP(D67,Members!$A$2:$C$16,3,FALSE())),"")</f>
        <v/>
      </c>
      <c r="G67" s="11"/>
      <c r="H67" s="11"/>
      <c r="I67" s="11"/>
      <c r="J67" s="11"/>
      <c r="K67" s="11"/>
      <c r="L67" s="11"/>
      <c r="M67" s="12"/>
      <c r="N67" s="12"/>
      <c r="O67" s="12"/>
      <c r="P67" s="12"/>
      <c r="Q67" s="12"/>
      <c r="R67" s="12"/>
      <c r="S67" s="13" t="str">
        <f aca="false">IF(COUNT(G67:L67)=0,"",SUM(G67:L67))</f>
        <v/>
      </c>
      <c r="T67" s="14" t="str">
        <f aca="false">IF(COUNT(M67:R67)=0,"",SUM(M67:R67))</f>
        <v/>
      </c>
      <c r="U67" s="9"/>
      <c r="V67" s="15"/>
      <c r="Y67" s="16" t="str">
        <f aca="false">IF(AND(A67="",B67="",D67="",COUNT(G67:L67)=0),"",IF(D67="","Missing shooter",IF(A67="","Missing date",IF(B67="","Missing event",IF(E67="","Club not in roster (type manually)",IF(COUNT(G67:L67)=0,"No scores entered",IF(U67="","Set status (official/provisional)",IF(COUNTIFS($A$2:$A$101,A67,$B$2:$B$101,B67,$D$2:$D$101,D67)&gt;1,"Duplicate entry","OK to upload"))))))))</f>
        <v/>
      </c>
    </row>
    <row r="68" customFormat="false" ht="15" hidden="false" customHeight="true" outlineLevel="0" collapsed="false">
      <c r="A68" s="8"/>
      <c r="B68" s="9"/>
      <c r="C68" s="9"/>
      <c r="D68" s="9"/>
      <c r="E68" s="10" t="str">
        <f aca="false">IFERROR(IF(D68="","",VLOOKUP(D68,Members!$A$2:$C$16,2,FALSE())),"")</f>
        <v/>
      </c>
      <c r="F68" s="10" t="str">
        <f aca="false">IFERROR(IF(D68="","",VLOOKUP(D68,Members!$A$2:$C$16,3,FALSE())),"")</f>
        <v/>
      </c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13" t="str">
        <f aca="false">IF(COUNT(G68:L68)=0,"",SUM(G68:L68))</f>
        <v/>
      </c>
      <c r="T68" s="14" t="str">
        <f aca="false">IF(COUNT(M68:R68)=0,"",SUM(M68:R68))</f>
        <v/>
      </c>
      <c r="U68" s="9"/>
      <c r="V68" s="15"/>
      <c r="Y68" s="16" t="str">
        <f aca="false">IF(AND(A68="",B68="",D68="",COUNT(G68:L68)=0),"",IF(D68="","Missing shooter",IF(A68="","Missing date",IF(B68="","Missing event",IF(E68="","Club not in roster (type manually)",IF(COUNT(G68:L68)=0,"No scores entered",IF(U68="","Set status (official/provisional)",IF(COUNTIFS($A$2:$A$101,A68,$B$2:$B$101,B68,$D$2:$D$101,D68)&gt;1,"Duplicate entry","OK to upload"))))))))</f>
        <v/>
      </c>
    </row>
    <row r="69" customFormat="false" ht="15" hidden="false" customHeight="true" outlineLevel="0" collapsed="false">
      <c r="A69" s="8"/>
      <c r="B69" s="9"/>
      <c r="C69" s="9"/>
      <c r="D69" s="9"/>
      <c r="E69" s="10" t="str">
        <f aca="false">IFERROR(IF(D69="","",VLOOKUP(D69,Members!$A$2:$C$16,2,FALSE())),"")</f>
        <v/>
      </c>
      <c r="F69" s="10" t="str">
        <f aca="false">IFERROR(IF(D69="","",VLOOKUP(D69,Members!$A$2:$C$16,3,FALSE())),"")</f>
        <v/>
      </c>
      <c r="G69" s="11"/>
      <c r="H69" s="11"/>
      <c r="I69" s="11"/>
      <c r="J69" s="11"/>
      <c r="K69" s="11"/>
      <c r="L69" s="11"/>
      <c r="M69" s="12"/>
      <c r="N69" s="12"/>
      <c r="O69" s="12"/>
      <c r="P69" s="12"/>
      <c r="Q69" s="12"/>
      <c r="R69" s="12"/>
      <c r="S69" s="13" t="str">
        <f aca="false">IF(COUNT(G69:L69)=0,"",SUM(G69:L69))</f>
        <v/>
      </c>
      <c r="T69" s="14" t="str">
        <f aca="false">IF(COUNT(M69:R69)=0,"",SUM(M69:R69))</f>
        <v/>
      </c>
      <c r="U69" s="9"/>
      <c r="V69" s="15"/>
      <c r="Y69" s="16" t="str">
        <f aca="false">IF(AND(A69="",B69="",D69="",COUNT(G69:L69)=0),"",IF(D69="","Missing shooter",IF(A69="","Missing date",IF(B69="","Missing event",IF(E69="","Club not in roster (type manually)",IF(COUNT(G69:L69)=0,"No scores entered",IF(U69="","Set status (official/provisional)",IF(COUNTIFS($A$2:$A$101,A69,$B$2:$B$101,B69,$D$2:$D$101,D69)&gt;1,"Duplicate entry","OK to upload"))))))))</f>
        <v/>
      </c>
    </row>
    <row r="70" customFormat="false" ht="15" hidden="false" customHeight="true" outlineLevel="0" collapsed="false">
      <c r="A70" s="8"/>
      <c r="B70" s="9"/>
      <c r="C70" s="9"/>
      <c r="D70" s="9"/>
      <c r="E70" s="10" t="str">
        <f aca="false">IFERROR(IF(D70="","",VLOOKUP(D70,Members!$A$2:$C$16,2,FALSE())),"")</f>
        <v/>
      </c>
      <c r="F70" s="10" t="str">
        <f aca="false">IFERROR(IF(D70="","",VLOOKUP(D70,Members!$A$2:$C$16,3,FALSE())),"")</f>
        <v/>
      </c>
      <c r="G70" s="11"/>
      <c r="H70" s="11"/>
      <c r="I70" s="11"/>
      <c r="J70" s="11"/>
      <c r="K70" s="11"/>
      <c r="L70" s="11"/>
      <c r="M70" s="12"/>
      <c r="N70" s="12"/>
      <c r="O70" s="12"/>
      <c r="P70" s="12"/>
      <c r="Q70" s="12"/>
      <c r="R70" s="12"/>
      <c r="S70" s="13" t="str">
        <f aca="false">IF(COUNT(G70:L70)=0,"",SUM(G70:L70))</f>
        <v/>
      </c>
      <c r="T70" s="14" t="str">
        <f aca="false">IF(COUNT(M70:R70)=0,"",SUM(M70:R70))</f>
        <v/>
      </c>
      <c r="U70" s="9"/>
      <c r="V70" s="15"/>
      <c r="Y70" s="16" t="str">
        <f aca="false">IF(AND(A70="",B70="",D70="",COUNT(G70:L70)=0),"",IF(D70="","Missing shooter",IF(A70="","Missing date",IF(B70="","Missing event",IF(E70="","Club not in roster (type manually)",IF(COUNT(G70:L70)=0,"No scores entered",IF(U70="","Set status (official/provisional)",IF(COUNTIFS($A$2:$A$101,A70,$B$2:$B$101,B70,$D$2:$D$101,D70)&gt;1,"Duplicate entry","OK to upload"))))))))</f>
        <v/>
      </c>
    </row>
    <row r="71" customFormat="false" ht="15" hidden="false" customHeight="true" outlineLevel="0" collapsed="false">
      <c r="A71" s="8"/>
      <c r="B71" s="9"/>
      <c r="C71" s="9"/>
      <c r="D71" s="9"/>
      <c r="E71" s="10" t="str">
        <f aca="false">IFERROR(IF(D71="","",VLOOKUP(D71,Members!$A$2:$C$16,2,FALSE())),"")</f>
        <v/>
      </c>
      <c r="F71" s="10" t="str">
        <f aca="false">IFERROR(IF(D71="","",VLOOKUP(D71,Members!$A$2:$C$16,3,FALSE())),"")</f>
        <v/>
      </c>
      <c r="G71" s="11"/>
      <c r="H71" s="11"/>
      <c r="I71" s="11"/>
      <c r="J71" s="11"/>
      <c r="K71" s="11"/>
      <c r="L71" s="11"/>
      <c r="M71" s="12"/>
      <c r="N71" s="12"/>
      <c r="O71" s="12"/>
      <c r="P71" s="12"/>
      <c r="Q71" s="12"/>
      <c r="R71" s="12"/>
      <c r="S71" s="13" t="str">
        <f aca="false">IF(COUNT(G71:L71)=0,"",SUM(G71:L71))</f>
        <v/>
      </c>
      <c r="T71" s="14" t="str">
        <f aca="false">IF(COUNT(M71:R71)=0,"",SUM(M71:R71))</f>
        <v/>
      </c>
      <c r="U71" s="9"/>
      <c r="V71" s="15"/>
      <c r="Y71" s="16" t="str">
        <f aca="false">IF(AND(A71="",B71="",D71="",COUNT(G71:L71)=0),"",IF(D71="","Missing shooter",IF(A71="","Missing date",IF(B71="","Missing event",IF(E71="","Club not in roster (type manually)",IF(COUNT(G71:L71)=0,"No scores entered",IF(U71="","Set status (official/provisional)",IF(COUNTIFS($A$2:$A$101,A71,$B$2:$B$101,B71,$D$2:$D$101,D71)&gt;1,"Duplicate entry","OK to upload"))))))))</f>
        <v/>
      </c>
    </row>
    <row r="72" customFormat="false" ht="15" hidden="false" customHeight="true" outlineLevel="0" collapsed="false">
      <c r="A72" s="8"/>
      <c r="B72" s="9"/>
      <c r="C72" s="9"/>
      <c r="D72" s="9"/>
      <c r="E72" s="10" t="str">
        <f aca="false">IFERROR(IF(D72="","",VLOOKUP(D72,Members!$A$2:$C$16,2,FALSE())),"")</f>
        <v/>
      </c>
      <c r="F72" s="10" t="str">
        <f aca="false">IFERROR(IF(D72="","",VLOOKUP(D72,Members!$A$2:$C$16,3,FALSE())),"")</f>
        <v/>
      </c>
      <c r="G72" s="11"/>
      <c r="H72" s="11"/>
      <c r="I72" s="11"/>
      <c r="J72" s="11"/>
      <c r="K72" s="11"/>
      <c r="L72" s="11"/>
      <c r="M72" s="12"/>
      <c r="N72" s="12"/>
      <c r="O72" s="12"/>
      <c r="P72" s="12"/>
      <c r="Q72" s="12"/>
      <c r="R72" s="12"/>
      <c r="S72" s="13" t="str">
        <f aca="false">IF(COUNT(G72:L72)=0,"",SUM(G72:L72))</f>
        <v/>
      </c>
      <c r="T72" s="14" t="str">
        <f aca="false">IF(COUNT(M72:R72)=0,"",SUM(M72:R72))</f>
        <v/>
      </c>
      <c r="U72" s="9"/>
      <c r="V72" s="15"/>
      <c r="Y72" s="16" t="str">
        <f aca="false">IF(AND(A72="",B72="",D72="",COUNT(G72:L72)=0),"",IF(D72="","Missing shooter",IF(A72="","Missing date",IF(B72="","Missing event",IF(E72="","Club not in roster (type manually)",IF(COUNT(G72:L72)=0,"No scores entered",IF(U72="","Set status (official/provisional)",IF(COUNTIFS($A$2:$A$101,A72,$B$2:$B$101,B72,$D$2:$D$101,D72)&gt;1,"Duplicate entry","OK to upload"))))))))</f>
        <v/>
      </c>
    </row>
    <row r="73" customFormat="false" ht="15" hidden="false" customHeight="true" outlineLevel="0" collapsed="false">
      <c r="A73" s="8"/>
      <c r="B73" s="9"/>
      <c r="C73" s="9"/>
      <c r="D73" s="9"/>
      <c r="E73" s="10" t="str">
        <f aca="false">IFERROR(IF(D73="","",VLOOKUP(D73,Members!$A$2:$C$16,2,FALSE())),"")</f>
        <v/>
      </c>
      <c r="F73" s="10" t="str">
        <f aca="false">IFERROR(IF(D73="","",VLOOKUP(D73,Members!$A$2:$C$16,3,FALSE())),"")</f>
        <v/>
      </c>
      <c r="G73" s="11"/>
      <c r="H73" s="11"/>
      <c r="I73" s="11"/>
      <c r="J73" s="11"/>
      <c r="K73" s="11"/>
      <c r="L73" s="11"/>
      <c r="M73" s="12"/>
      <c r="N73" s="12"/>
      <c r="O73" s="12"/>
      <c r="P73" s="12"/>
      <c r="Q73" s="12"/>
      <c r="R73" s="12"/>
      <c r="S73" s="13" t="str">
        <f aca="false">IF(COUNT(G73:L73)=0,"",SUM(G73:L73))</f>
        <v/>
      </c>
      <c r="T73" s="14" t="str">
        <f aca="false">IF(COUNT(M73:R73)=0,"",SUM(M73:R73))</f>
        <v/>
      </c>
      <c r="U73" s="9"/>
      <c r="V73" s="15"/>
      <c r="Y73" s="16" t="str">
        <f aca="false">IF(AND(A73="",B73="",D73="",COUNT(G73:L73)=0),"",IF(D73="","Missing shooter",IF(A73="","Missing date",IF(B73="","Missing event",IF(E73="","Club not in roster (type manually)",IF(COUNT(G73:L73)=0,"No scores entered",IF(U73="","Set status (official/provisional)",IF(COUNTIFS($A$2:$A$101,A73,$B$2:$B$101,B73,$D$2:$D$101,D73)&gt;1,"Duplicate entry","OK to upload"))))))))</f>
        <v/>
      </c>
    </row>
    <row r="74" customFormat="false" ht="15" hidden="false" customHeight="true" outlineLevel="0" collapsed="false">
      <c r="A74" s="8"/>
      <c r="B74" s="9"/>
      <c r="C74" s="9"/>
      <c r="D74" s="9"/>
      <c r="E74" s="10" t="str">
        <f aca="false">IFERROR(IF(D74="","",VLOOKUP(D74,Members!$A$2:$C$16,2,FALSE())),"")</f>
        <v/>
      </c>
      <c r="F74" s="10" t="str">
        <f aca="false">IFERROR(IF(D74="","",VLOOKUP(D74,Members!$A$2:$C$16,3,FALSE())),"")</f>
        <v/>
      </c>
      <c r="G74" s="11"/>
      <c r="H74" s="11"/>
      <c r="I74" s="11"/>
      <c r="J74" s="11"/>
      <c r="K74" s="11"/>
      <c r="L74" s="11"/>
      <c r="M74" s="12"/>
      <c r="N74" s="12"/>
      <c r="O74" s="12"/>
      <c r="P74" s="12"/>
      <c r="Q74" s="12"/>
      <c r="R74" s="12"/>
      <c r="S74" s="13" t="str">
        <f aca="false">IF(COUNT(G74:L74)=0,"",SUM(G74:L74))</f>
        <v/>
      </c>
      <c r="T74" s="14" t="str">
        <f aca="false">IF(COUNT(M74:R74)=0,"",SUM(M74:R74))</f>
        <v/>
      </c>
      <c r="U74" s="9"/>
      <c r="V74" s="15"/>
      <c r="Y74" s="16" t="str">
        <f aca="false">IF(AND(A74="",B74="",D74="",COUNT(G74:L74)=0),"",IF(D74="","Missing shooter",IF(A74="","Missing date",IF(B74="","Missing event",IF(E74="","Club not in roster (type manually)",IF(COUNT(G74:L74)=0,"No scores entered",IF(U74="","Set status (official/provisional)",IF(COUNTIFS($A$2:$A$101,A74,$B$2:$B$101,B74,$D$2:$D$101,D74)&gt;1,"Duplicate entry","OK to upload"))))))))</f>
        <v/>
      </c>
    </row>
    <row r="75" customFormat="false" ht="15" hidden="false" customHeight="true" outlineLevel="0" collapsed="false">
      <c r="A75" s="8"/>
      <c r="B75" s="9"/>
      <c r="C75" s="9"/>
      <c r="D75" s="9"/>
      <c r="E75" s="10" t="str">
        <f aca="false">IFERROR(IF(D75="","",VLOOKUP(D75,Members!$A$2:$C$16,2,FALSE())),"")</f>
        <v/>
      </c>
      <c r="F75" s="10" t="str">
        <f aca="false">IFERROR(IF(D75="","",VLOOKUP(D75,Members!$A$2:$C$16,3,FALSE())),"")</f>
        <v/>
      </c>
      <c r="G75" s="11"/>
      <c r="H75" s="11"/>
      <c r="I75" s="11"/>
      <c r="J75" s="11"/>
      <c r="K75" s="11"/>
      <c r="L75" s="11"/>
      <c r="M75" s="12"/>
      <c r="N75" s="12"/>
      <c r="O75" s="12"/>
      <c r="P75" s="12"/>
      <c r="Q75" s="12"/>
      <c r="R75" s="12"/>
      <c r="S75" s="13" t="str">
        <f aca="false">IF(COUNT(G75:L75)=0,"",SUM(G75:L75))</f>
        <v/>
      </c>
      <c r="T75" s="14" t="str">
        <f aca="false">IF(COUNT(M75:R75)=0,"",SUM(M75:R75))</f>
        <v/>
      </c>
      <c r="U75" s="9"/>
      <c r="V75" s="15"/>
      <c r="Y75" s="16" t="str">
        <f aca="false">IF(AND(A75="",B75="",D75="",COUNT(G75:L75)=0),"",IF(D75="","Missing shooter",IF(A75="","Missing date",IF(B75="","Missing event",IF(E75="","Club not in roster (type manually)",IF(COUNT(G75:L75)=0,"No scores entered",IF(U75="","Set status (official/provisional)",IF(COUNTIFS($A$2:$A$101,A75,$B$2:$B$101,B75,$D$2:$D$101,D75)&gt;1,"Duplicate entry","OK to upload"))))))))</f>
        <v/>
      </c>
    </row>
    <row r="76" customFormat="false" ht="15" hidden="false" customHeight="true" outlineLevel="0" collapsed="false">
      <c r="A76" s="8"/>
      <c r="B76" s="9"/>
      <c r="C76" s="9"/>
      <c r="D76" s="9"/>
      <c r="E76" s="10" t="str">
        <f aca="false">IFERROR(IF(D76="","",VLOOKUP(D76,Members!$A$2:$C$16,2,FALSE())),"")</f>
        <v/>
      </c>
      <c r="F76" s="10" t="str">
        <f aca="false">IFERROR(IF(D76="","",VLOOKUP(D76,Members!$A$2:$C$16,3,FALSE())),"")</f>
        <v/>
      </c>
      <c r="G76" s="11"/>
      <c r="H76" s="11"/>
      <c r="I76" s="11"/>
      <c r="J76" s="11"/>
      <c r="K76" s="11"/>
      <c r="L76" s="11"/>
      <c r="M76" s="12"/>
      <c r="N76" s="12"/>
      <c r="O76" s="12"/>
      <c r="P76" s="12"/>
      <c r="Q76" s="12"/>
      <c r="R76" s="12"/>
      <c r="S76" s="13" t="str">
        <f aca="false">IF(COUNT(G76:L76)=0,"",SUM(G76:L76))</f>
        <v/>
      </c>
      <c r="T76" s="14" t="str">
        <f aca="false">IF(COUNT(M76:R76)=0,"",SUM(M76:R76))</f>
        <v/>
      </c>
      <c r="U76" s="9"/>
      <c r="V76" s="15"/>
      <c r="Y76" s="16" t="str">
        <f aca="false">IF(AND(A76="",B76="",D76="",COUNT(G76:L76)=0),"",IF(D76="","Missing shooter",IF(A76="","Missing date",IF(B76="","Missing event",IF(E76="","Club not in roster (type manually)",IF(COUNT(G76:L76)=0,"No scores entered",IF(U76="","Set status (official/provisional)",IF(COUNTIFS($A$2:$A$101,A76,$B$2:$B$101,B76,$D$2:$D$101,D76)&gt;1,"Duplicate entry","OK to upload"))))))))</f>
        <v/>
      </c>
    </row>
    <row r="77" customFormat="false" ht="15" hidden="false" customHeight="true" outlineLevel="0" collapsed="false">
      <c r="A77" s="8"/>
      <c r="B77" s="9"/>
      <c r="C77" s="9"/>
      <c r="D77" s="9"/>
      <c r="E77" s="10" t="str">
        <f aca="false">IFERROR(IF(D77="","",VLOOKUP(D77,Members!$A$2:$C$16,2,FALSE())),"")</f>
        <v/>
      </c>
      <c r="F77" s="10" t="str">
        <f aca="false">IFERROR(IF(D77="","",VLOOKUP(D77,Members!$A$2:$C$16,3,FALSE())),"")</f>
        <v/>
      </c>
      <c r="G77" s="11"/>
      <c r="H77" s="11"/>
      <c r="I77" s="11"/>
      <c r="J77" s="11"/>
      <c r="K77" s="11"/>
      <c r="L77" s="11"/>
      <c r="M77" s="12"/>
      <c r="N77" s="12"/>
      <c r="O77" s="12"/>
      <c r="P77" s="12"/>
      <c r="Q77" s="12"/>
      <c r="R77" s="12"/>
      <c r="S77" s="13" t="str">
        <f aca="false">IF(COUNT(G77:L77)=0,"",SUM(G77:L77))</f>
        <v/>
      </c>
      <c r="T77" s="14" t="str">
        <f aca="false">IF(COUNT(M77:R77)=0,"",SUM(M77:R77))</f>
        <v/>
      </c>
      <c r="U77" s="9"/>
      <c r="V77" s="15"/>
      <c r="Y77" s="16" t="str">
        <f aca="false">IF(AND(A77="",B77="",D77="",COUNT(G77:L77)=0),"",IF(D77="","Missing shooter",IF(A77="","Missing date",IF(B77="","Missing event",IF(E77="","Club not in roster (type manually)",IF(COUNT(G77:L77)=0,"No scores entered",IF(U77="","Set status (official/provisional)",IF(COUNTIFS($A$2:$A$101,A77,$B$2:$B$101,B77,$D$2:$D$101,D77)&gt;1,"Duplicate entry","OK to upload"))))))))</f>
        <v/>
      </c>
    </row>
    <row r="78" customFormat="false" ht="15" hidden="false" customHeight="true" outlineLevel="0" collapsed="false">
      <c r="A78" s="8"/>
      <c r="B78" s="9"/>
      <c r="C78" s="9"/>
      <c r="D78" s="9"/>
      <c r="E78" s="10" t="str">
        <f aca="false">IFERROR(IF(D78="","",VLOOKUP(D78,Members!$A$2:$C$16,2,FALSE())),"")</f>
        <v/>
      </c>
      <c r="F78" s="10" t="str">
        <f aca="false">IFERROR(IF(D78="","",VLOOKUP(D78,Members!$A$2:$C$16,3,FALSE())),"")</f>
        <v/>
      </c>
      <c r="G78" s="11"/>
      <c r="H78" s="11"/>
      <c r="I78" s="11"/>
      <c r="J78" s="11"/>
      <c r="K78" s="11"/>
      <c r="L78" s="11"/>
      <c r="M78" s="12"/>
      <c r="N78" s="12"/>
      <c r="O78" s="12"/>
      <c r="P78" s="12"/>
      <c r="Q78" s="12"/>
      <c r="R78" s="12"/>
      <c r="S78" s="13" t="str">
        <f aca="false">IF(COUNT(G78:L78)=0,"",SUM(G78:L78))</f>
        <v/>
      </c>
      <c r="T78" s="14" t="str">
        <f aca="false">IF(COUNT(M78:R78)=0,"",SUM(M78:R78))</f>
        <v/>
      </c>
      <c r="U78" s="9"/>
      <c r="V78" s="15"/>
      <c r="Y78" s="16" t="str">
        <f aca="false">IF(AND(A78="",B78="",D78="",COUNT(G78:L78)=0),"",IF(D78="","Missing shooter",IF(A78="","Missing date",IF(B78="","Missing event",IF(E78="","Club not in roster (type manually)",IF(COUNT(G78:L78)=0,"No scores entered",IF(U78="","Set status (official/provisional)",IF(COUNTIFS($A$2:$A$101,A78,$B$2:$B$101,B78,$D$2:$D$101,D78)&gt;1,"Duplicate entry","OK to upload"))))))))</f>
        <v/>
      </c>
    </row>
    <row r="79" customFormat="false" ht="15" hidden="false" customHeight="true" outlineLevel="0" collapsed="false">
      <c r="A79" s="8"/>
      <c r="B79" s="9"/>
      <c r="C79" s="9"/>
      <c r="D79" s="9"/>
      <c r="E79" s="10" t="str">
        <f aca="false">IFERROR(IF(D79="","",VLOOKUP(D79,Members!$A$2:$C$16,2,FALSE())),"")</f>
        <v/>
      </c>
      <c r="F79" s="10" t="str">
        <f aca="false">IFERROR(IF(D79="","",VLOOKUP(D79,Members!$A$2:$C$16,3,FALSE())),"")</f>
        <v/>
      </c>
      <c r="G79" s="11"/>
      <c r="H79" s="11"/>
      <c r="I79" s="11"/>
      <c r="J79" s="11"/>
      <c r="K79" s="11"/>
      <c r="L79" s="11"/>
      <c r="M79" s="12"/>
      <c r="N79" s="12"/>
      <c r="O79" s="12"/>
      <c r="P79" s="12"/>
      <c r="Q79" s="12"/>
      <c r="R79" s="12"/>
      <c r="S79" s="13" t="str">
        <f aca="false">IF(COUNT(G79:L79)=0,"",SUM(G79:L79))</f>
        <v/>
      </c>
      <c r="T79" s="14" t="str">
        <f aca="false">IF(COUNT(M79:R79)=0,"",SUM(M79:R79))</f>
        <v/>
      </c>
      <c r="U79" s="9"/>
      <c r="V79" s="15"/>
      <c r="Y79" s="16" t="str">
        <f aca="false">IF(AND(A79="",B79="",D79="",COUNT(G79:L79)=0),"",IF(D79="","Missing shooter",IF(A79="","Missing date",IF(B79="","Missing event",IF(E79="","Club not in roster (type manually)",IF(COUNT(G79:L79)=0,"No scores entered",IF(U79="","Set status (official/provisional)",IF(COUNTIFS($A$2:$A$101,A79,$B$2:$B$101,B79,$D$2:$D$101,D79)&gt;1,"Duplicate entry","OK to upload"))))))))</f>
        <v/>
      </c>
    </row>
    <row r="80" customFormat="false" ht="15" hidden="false" customHeight="true" outlineLevel="0" collapsed="false">
      <c r="A80" s="8"/>
      <c r="B80" s="9"/>
      <c r="C80" s="9"/>
      <c r="D80" s="9"/>
      <c r="E80" s="10" t="str">
        <f aca="false">IFERROR(IF(D80="","",VLOOKUP(D80,Members!$A$2:$C$16,2,FALSE())),"")</f>
        <v/>
      </c>
      <c r="F80" s="10" t="str">
        <f aca="false">IFERROR(IF(D80="","",VLOOKUP(D80,Members!$A$2:$C$16,3,FALSE())),"")</f>
        <v/>
      </c>
      <c r="G80" s="11"/>
      <c r="H80" s="11"/>
      <c r="I80" s="11"/>
      <c r="J80" s="11"/>
      <c r="K80" s="11"/>
      <c r="L80" s="11"/>
      <c r="M80" s="12"/>
      <c r="N80" s="12"/>
      <c r="O80" s="12"/>
      <c r="P80" s="12"/>
      <c r="Q80" s="12"/>
      <c r="R80" s="12"/>
      <c r="S80" s="13" t="str">
        <f aca="false">IF(COUNT(G80:L80)=0,"",SUM(G80:L80))</f>
        <v/>
      </c>
      <c r="T80" s="14" t="str">
        <f aca="false">IF(COUNT(M80:R80)=0,"",SUM(M80:R80))</f>
        <v/>
      </c>
      <c r="U80" s="9"/>
      <c r="V80" s="15"/>
      <c r="Y80" s="16" t="str">
        <f aca="false">IF(AND(A80="",B80="",D80="",COUNT(G80:L80)=0),"",IF(D80="","Missing shooter",IF(A80="","Missing date",IF(B80="","Missing event",IF(E80="","Club not in roster (type manually)",IF(COUNT(G80:L80)=0,"No scores entered",IF(U80="","Set status (official/provisional)",IF(COUNTIFS($A$2:$A$101,A80,$B$2:$B$101,B80,$D$2:$D$101,D80)&gt;1,"Duplicate entry","OK to upload"))))))))</f>
        <v/>
      </c>
    </row>
    <row r="81" customFormat="false" ht="15" hidden="false" customHeight="true" outlineLevel="0" collapsed="false">
      <c r="A81" s="8"/>
      <c r="B81" s="9"/>
      <c r="C81" s="9"/>
      <c r="D81" s="9"/>
      <c r="E81" s="10" t="str">
        <f aca="false">IFERROR(IF(D81="","",VLOOKUP(D81,Members!$A$2:$C$16,2,FALSE())),"")</f>
        <v/>
      </c>
      <c r="F81" s="10" t="str">
        <f aca="false">IFERROR(IF(D81="","",VLOOKUP(D81,Members!$A$2:$C$16,3,FALSE())),"")</f>
        <v/>
      </c>
      <c r="G81" s="11"/>
      <c r="H81" s="11"/>
      <c r="I81" s="11"/>
      <c r="J81" s="11"/>
      <c r="K81" s="11"/>
      <c r="L81" s="11"/>
      <c r="M81" s="12"/>
      <c r="N81" s="12"/>
      <c r="O81" s="12"/>
      <c r="P81" s="12"/>
      <c r="Q81" s="12"/>
      <c r="R81" s="12"/>
      <c r="S81" s="13" t="str">
        <f aca="false">IF(COUNT(G81:L81)=0,"",SUM(G81:L81))</f>
        <v/>
      </c>
      <c r="T81" s="14" t="str">
        <f aca="false">IF(COUNT(M81:R81)=0,"",SUM(M81:R81))</f>
        <v/>
      </c>
      <c r="U81" s="9"/>
      <c r="V81" s="15"/>
      <c r="Y81" s="16" t="str">
        <f aca="false">IF(AND(A81="",B81="",D81="",COUNT(G81:L81)=0),"",IF(D81="","Missing shooter",IF(A81="","Missing date",IF(B81="","Missing event",IF(E81="","Club not in roster (type manually)",IF(COUNT(G81:L81)=0,"No scores entered",IF(U81="","Set status (official/provisional)",IF(COUNTIFS($A$2:$A$101,A81,$B$2:$B$101,B81,$D$2:$D$101,D81)&gt;1,"Duplicate entry","OK to upload"))))))))</f>
        <v/>
      </c>
    </row>
    <row r="82" customFormat="false" ht="15" hidden="false" customHeight="true" outlineLevel="0" collapsed="false">
      <c r="A82" s="8"/>
      <c r="B82" s="9"/>
      <c r="C82" s="9"/>
      <c r="D82" s="9"/>
      <c r="E82" s="10" t="str">
        <f aca="false">IFERROR(IF(D82="","",VLOOKUP(D82,Members!$A$2:$C$16,2,FALSE())),"")</f>
        <v/>
      </c>
      <c r="F82" s="10" t="str">
        <f aca="false">IFERROR(IF(D82="","",VLOOKUP(D82,Members!$A$2:$C$16,3,FALSE())),"")</f>
        <v/>
      </c>
      <c r="G82" s="11"/>
      <c r="H82" s="11"/>
      <c r="I82" s="11"/>
      <c r="J82" s="11"/>
      <c r="K82" s="11"/>
      <c r="L82" s="11"/>
      <c r="M82" s="12"/>
      <c r="N82" s="12"/>
      <c r="O82" s="12"/>
      <c r="P82" s="12"/>
      <c r="Q82" s="12"/>
      <c r="R82" s="12"/>
      <c r="S82" s="13" t="str">
        <f aca="false">IF(COUNT(G82:L82)=0,"",SUM(G82:L82))</f>
        <v/>
      </c>
      <c r="T82" s="14" t="str">
        <f aca="false">IF(COUNT(M82:R82)=0,"",SUM(M82:R82))</f>
        <v/>
      </c>
      <c r="U82" s="9"/>
      <c r="V82" s="15"/>
      <c r="Y82" s="16" t="str">
        <f aca="false">IF(AND(A82="",B82="",D82="",COUNT(G82:L82)=0),"",IF(D82="","Missing shooter",IF(A82="","Missing date",IF(B82="","Missing event",IF(E82="","Club not in roster (type manually)",IF(COUNT(G82:L82)=0,"No scores entered",IF(U82="","Set status (official/provisional)",IF(COUNTIFS($A$2:$A$101,A82,$B$2:$B$101,B82,$D$2:$D$101,D82)&gt;1,"Duplicate entry","OK to upload"))))))))</f>
        <v/>
      </c>
    </row>
    <row r="83" customFormat="false" ht="15" hidden="false" customHeight="true" outlineLevel="0" collapsed="false">
      <c r="A83" s="8"/>
      <c r="B83" s="9"/>
      <c r="C83" s="9"/>
      <c r="D83" s="9"/>
      <c r="E83" s="10" t="str">
        <f aca="false">IFERROR(IF(D83="","",VLOOKUP(D83,Members!$A$2:$C$16,2,FALSE())),"")</f>
        <v/>
      </c>
      <c r="F83" s="10" t="str">
        <f aca="false">IFERROR(IF(D83="","",VLOOKUP(D83,Members!$A$2:$C$16,3,FALSE())),"")</f>
        <v/>
      </c>
      <c r="G83" s="11"/>
      <c r="H83" s="11"/>
      <c r="I83" s="11"/>
      <c r="J83" s="11"/>
      <c r="K83" s="11"/>
      <c r="L83" s="11"/>
      <c r="M83" s="12"/>
      <c r="N83" s="12"/>
      <c r="O83" s="12"/>
      <c r="P83" s="12"/>
      <c r="Q83" s="12"/>
      <c r="R83" s="12"/>
      <c r="S83" s="13" t="str">
        <f aca="false">IF(COUNT(G83:L83)=0,"",SUM(G83:L83))</f>
        <v/>
      </c>
      <c r="T83" s="14" t="str">
        <f aca="false">IF(COUNT(M83:R83)=0,"",SUM(M83:R83))</f>
        <v/>
      </c>
      <c r="U83" s="9"/>
      <c r="V83" s="15"/>
      <c r="Y83" s="16" t="str">
        <f aca="false">IF(AND(A83="",B83="",D83="",COUNT(G83:L83)=0),"",IF(D83="","Missing shooter",IF(A83="","Missing date",IF(B83="","Missing event",IF(E83="","Club not in roster (type manually)",IF(COUNT(G83:L83)=0,"No scores entered",IF(U83="","Set status (official/provisional)",IF(COUNTIFS($A$2:$A$101,A83,$B$2:$B$101,B83,$D$2:$D$101,D83)&gt;1,"Duplicate entry","OK to upload"))))))))</f>
        <v/>
      </c>
    </row>
    <row r="84" customFormat="false" ht="15" hidden="false" customHeight="true" outlineLevel="0" collapsed="false">
      <c r="A84" s="8"/>
      <c r="B84" s="9"/>
      <c r="C84" s="9"/>
      <c r="D84" s="9"/>
      <c r="E84" s="10" t="str">
        <f aca="false">IFERROR(IF(D84="","",VLOOKUP(D84,Members!$A$2:$C$16,2,FALSE())),"")</f>
        <v/>
      </c>
      <c r="F84" s="10" t="str">
        <f aca="false">IFERROR(IF(D84="","",VLOOKUP(D84,Members!$A$2:$C$16,3,FALSE())),"")</f>
        <v/>
      </c>
      <c r="G84" s="11"/>
      <c r="H84" s="11"/>
      <c r="I84" s="11"/>
      <c r="J84" s="11"/>
      <c r="K84" s="11"/>
      <c r="L84" s="11"/>
      <c r="M84" s="12"/>
      <c r="N84" s="12"/>
      <c r="O84" s="12"/>
      <c r="P84" s="12"/>
      <c r="Q84" s="12"/>
      <c r="R84" s="12"/>
      <c r="S84" s="13" t="str">
        <f aca="false">IF(COUNT(G84:L84)=0,"",SUM(G84:L84))</f>
        <v/>
      </c>
      <c r="T84" s="14" t="str">
        <f aca="false">IF(COUNT(M84:R84)=0,"",SUM(M84:R84))</f>
        <v/>
      </c>
      <c r="U84" s="9"/>
      <c r="V84" s="15"/>
      <c r="Y84" s="16" t="str">
        <f aca="false">IF(AND(A84="",B84="",D84="",COUNT(G84:L84)=0),"",IF(D84="","Missing shooter",IF(A84="","Missing date",IF(B84="","Missing event",IF(E84="","Club not in roster (type manually)",IF(COUNT(G84:L84)=0,"No scores entered",IF(U84="","Set status (official/provisional)",IF(COUNTIFS($A$2:$A$101,A84,$B$2:$B$101,B84,$D$2:$D$101,D84)&gt;1,"Duplicate entry","OK to upload"))))))))</f>
        <v/>
      </c>
    </row>
    <row r="85" customFormat="false" ht="15" hidden="false" customHeight="true" outlineLevel="0" collapsed="false">
      <c r="A85" s="8"/>
      <c r="B85" s="9"/>
      <c r="C85" s="9"/>
      <c r="D85" s="9"/>
      <c r="E85" s="10" t="str">
        <f aca="false">IFERROR(IF(D85="","",VLOOKUP(D85,Members!$A$2:$C$16,2,FALSE())),"")</f>
        <v/>
      </c>
      <c r="F85" s="10" t="str">
        <f aca="false">IFERROR(IF(D85="","",VLOOKUP(D85,Members!$A$2:$C$16,3,FALSE())),"")</f>
        <v/>
      </c>
      <c r="G85" s="11"/>
      <c r="H85" s="11"/>
      <c r="I85" s="11"/>
      <c r="J85" s="11"/>
      <c r="K85" s="11"/>
      <c r="L85" s="11"/>
      <c r="M85" s="12"/>
      <c r="N85" s="12"/>
      <c r="O85" s="12"/>
      <c r="P85" s="12"/>
      <c r="Q85" s="12"/>
      <c r="R85" s="12"/>
      <c r="S85" s="13" t="str">
        <f aca="false">IF(COUNT(G85:L85)=0,"",SUM(G85:L85))</f>
        <v/>
      </c>
      <c r="T85" s="14" t="str">
        <f aca="false">IF(COUNT(M85:R85)=0,"",SUM(M85:R85))</f>
        <v/>
      </c>
      <c r="U85" s="9"/>
      <c r="V85" s="15"/>
      <c r="Y85" s="16" t="str">
        <f aca="false">IF(AND(A85="",B85="",D85="",COUNT(G85:L85)=0),"",IF(D85="","Missing shooter",IF(A85="","Missing date",IF(B85="","Missing event",IF(E85="","Club not in roster (type manually)",IF(COUNT(G85:L85)=0,"No scores entered",IF(U85="","Set status (official/provisional)",IF(COUNTIFS($A$2:$A$101,A85,$B$2:$B$101,B85,$D$2:$D$101,D85)&gt;1,"Duplicate entry","OK to upload"))))))))</f>
        <v/>
      </c>
    </row>
    <row r="86" customFormat="false" ht="15" hidden="false" customHeight="true" outlineLevel="0" collapsed="false">
      <c r="A86" s="8"/>
      <c r="B86" s="9"/>
      <c r="C86" s="9"/>
      <c r="D86" s="9"/>
      <c r="E86" s="10" t="str">
        <f aca="false">IFERROR(IF(D86="","",VLOOKUP(D86,Members!$A$2:$C$16,2,FALSE())),"")</f>
        <v/>
      </c>
      <c r="F86" s="10" t="str">
        <f aca="false">IFERROR(IF(D86="","",VLOOKUP(D86,Members!$A$2:$C$16,3,FALSE())),"")</f>
        <v/>
      </c>
      <c r="G86" s="11"/>
      <c r="H86" s="11"/>
      <c r="I86" s="11"/>
      <c r="J86" s="11"/>
      <c r="K86" s="11"/>
      <c r="L86" s="11"/>
      <c r="M86" s="12"/>
      <c r="N86" s="12"/>
      <c r="O86" s="12"/>
      <c r="P86" s="12"/>
      <c r="Q86" s="12"/>
      <c r="R86" s="12"/>
      <c r="S86" s="13" t="str">
        <f aca="false">IF(COUNT(G86:L86)=0,"",SUM(G86:L86))</f>
        <v/>
      </c>
      <c r="T86" s="14" t="str">
        <f aca="false">IF(COUNT(M86:R86)=0,"",SUM(M86:R86))</f>
        <v/>
      </c>
      <c r="U86" s="9"/>
      <c r="V86" s="15"/>
      <c r="Y86" s="16" t="str">
        <f aca="false">IF(AND(A86="",B86="",D86="",COUNT(G86:L86)=0),"",IF(D86="","Missing shooter",IF(A86="","Missing date",IF(B86="","Missing event",IF(E86="","Club not in roster (type manually)",IF(COUNT(G86:L86)=0,"No scores entered",IF(U86="","Set status (official/provisional)",IF(COUNTIFS($A$2:$A$101,A86,$B$2:$B$101,B86,$D$2:$D$101,D86)&gt;1,"Duplicate entry","OK to upload"))))))))</f>
        <v/>
      </c>
    </row>
    <row r="87" customFormat="false" ht="15" hidden="false" customHeight="true" outlineLevel="0" collapsed="false">
      <c r="A87" s="8"/>
      <c r="B87" s="9"/>
      <c r="C87" s="9"/>
      <c r="D87" s="9"/>
      <c r="E87" s="10" t="str">
        <f aca="false">IFERROR(IF(D87="","",VLOOKUP(D87,Members!$A$2:$C$16,2,FALSE())),"")</f>
        <v/>
      </c>
      <c r="F87" s="10" t="str">
        <f aca="false">IFERROR(IF(D87="","",VLOOKUP(D87,Members!$A$2:$C$16,3,FALSE())),"")</f>
        <v/>
      </c>
      <c r="G87" s="11"/>
      <c r="H87" s="11"/>
      <c r="I87" s="11"/>
      <c r="J87" s="11"/>
      <c r="K87" s="11"/>
      <c r="L87" s="11"/>
      <c r="M87" s="12"/>
      <c r="N87" s="12"/>
      <c r="O87" s="12"/>
      <c r="P87" s="12"/>
      <c r="Q87" s="12"/>
      <c r="R87" s="12"/>
      <c r="S87" s="13" t="str">
        <f aca="false">IF(COUNT(G87:L87)=0,"",SUM(G87:L87))</f>
        <v/>
      </c>
      <c r="T87" s="14" t="str">
        <f aca="false">IF(COUNT(M87:R87)=0,"",SUM(M87:R87))</f>
        <v/>
      </c>
      <c r="U87" s="9"/>
      <c r="V87" s="15"/>
      <c r="Y87" s="16" t="str">
        <f aca="false">IF(AND(A87="",B87="",D87="",COUNT(G87:L87)=0),"",IF(D87="","Missing shooter",IF(A87="","Missing date",IF(B87="","Missing event",IF(E87="","Club not in roster (type manually)",IF(COUNT(G87:L87)=0,"No scores entered",IF(U87="","Set status (official/provisional)",IF(COUNTIFS($A$2:$A$101,A87,$B$2:$B$101,B87,$D$2:$D$101,D87)&gt;1,"Duplicate entry","OK to upload"))))))))</f>
        <v/>
      </c>
    </row>
    <row r="88" customFormat="false" ht="15" hidden="false" customHeight="true" outlineLevel="0" collapsed="false">
      <c r="A88" s="8"/>
      <c r="B88" s="9"/>
      <c r="C88" s="9"/>
      <c r="D88" s="9"/>
      <c r="E88" s="10" t="str">
        <f aca="false">IFERROR(IF(D88="","",VLOOKUP(D88,Members!$A$2:$C$16,2,FALSE())),"")</f>
        <v/>
      </c>
      <c r="F88" s="10" t="str">
        <f aca="false">IFERROR(IF(D88="","",VLOOKUP(D88,Members!$A$2:$C$16,3,FALSE())),"")</f>
        <v/>
      </c>
      <c r="G88" s="11"/>
      <c r="H88" s="11"/>
      <c r="I88" s="11"/>
      <c r="J88" s="11"/>
      <c r="K88" s="11"/>
      <c r="L88" s="11"/>
      <c r="M88" s="12"/>
      <c r="N88" s="12"/>
      <c r="O88" s="12"/>
      <c r="P88" s="12"/>
      <c r="Q88" s="12"/>
      <c r="R88" s="12"/>
      <c r="S88" s="13" t="str">
        <f aca="false">IF(COUNT(G88:L88)=0,"",SUM(G88:L88))</f>
        <v/>
      </c>
      <c r="T88" s="14" t="str">
        <f aca="false">IF(COUNT(M88:R88)=0,"",SUM(M88:R88))</f>
        <v/>
      </c>
      <c r="U88" s="9"/>
      <c r="V88" s="15"/>
      <c r="Y88" s="16" t="str">
        <f aca="false">IF(AND(A88="",B88="",D88="",COUNT(G88:L88)=0),"",IF(D88="","Missing shooter",IF(A88="","Missing date",IF(B88="","Missing event",IF(E88="","Club not in roster (type manually)",IF(COUNT(G88:L88)=0,"No scores entered",IF(U88="","Set status (official/provisional)",IF(COUNTIFS($A$2:$A$101,A88,$B$2:$B$101,B88,$D$2:$D$101,D88)&gt;1,"Duplicate entry","OK to upload"))))))))</f>
        <v/>
      </c>
    </row>
    <row r="89" customFormat="false" ht="15" hidden="false" customHeight="true" outlineLevel="0" collapsed="false">
      <c r="A89" s="8"/>
      <c r="B89" s="9"/>
      <c r="C89" s="9"/>
      <c r="D89" s="9"/>
      <c r="E89" s="10" t="str">
        <f aca="false">IFERROR(IF(D89="","",VLOOKUP(D89,Members!$A$2:$C$16,2,FALSE())),"")</f>
        <v/>
      </c>
      <c r="F89" s="10" t="str">
        <f aca="false">IFERROR(IF(D89="","",VLOOKUP(D89,Members!$A$2:$C$16,3,FALSE())),"")</f>
        <v/>
      </c>
      <c r="G89" s="11"/>
      <c r="H89" s="11"/>
      <c r="I89" s="11"/>
      <c r="J89" s="11"/>
      <c r="K89" s="11"/>
      <c r="L89" s="11"/>
      <c r="M89" s="12"/>
      <c r="N89" s="12"/>
      <c r="O89" s="12"/>
      <c r="P89" s="12"/>
      <c r="Q89" s="12"/>
      <c r="R89" s="12"/>
      <c r="S89" s="13" t="str">
        <f aca="false">IF(COUNT(G89:L89)=0,"",SUM(G89:L89))</f>
        <v/>
      </c>
      <c r="T89" s="14" t="str">
        <f aca="false">IF(COUNT(M89:R89)=0,"",SUM(M89:R89))</f>
        <v/>
      </c>
      <c r="U89" s="9"/>
      <c r="V89" s="15"/>
      <c r="Y89" s="16" t="str">
        <f aca="false">IF(AND(A89="",B89="",D89="",COUNT(G89:L89)=0),"",IF(D89="","Missing shooter",IF(A89="","Missing date",IF(B89="","Missing event",IF(E89="","Club not in roster (type manually)",IF(COUNT(G89:L89)=0,"No scores entered",IF(U89="","Set status (official/provisional)",IF(COUNTIFS($A$2:$A$101,A89,$B$2:$B$101,B89,$D$2:$D$101,D89)&gt;1,"Duplicate entry","OK to upload"))))))))</f>
        <v/>
      </c>
    </row>
    <row r="90" customFormat="false" ht="15" hidden="false" customHeight="true" outlineLevel="0" collapsed="false">
      <c r="A90" s="8"/>
      <c r="B90" s="9"/>
      <c r="C90" s="9"/>
      <c r="D90" s="9"/>
      <c r="E90" s="10" t="str">
        <f aca="false">IFERROR(IF(D90="","",VLOOKUP(D90,Members!$A$2:$C$16,2,FALSE())),"")</f>
        <v/>
      </c>
      <c r="F90" s="10" t="str">
        <f aca="false">IFERROR(IF(D90="","",VLOOKUP(D90,Members!$A$2:$C$16,3,FALSE())),"")</f>
        <v/>
      </c>
      <c r="G90" s="11"/>
      <c r="H90" s="11"/>
      <c r="I90" s="11"/>
      <c r="J90" s="11"/>
      <c r="K90" s="11"/>
      <c r="L90" s="11"/>
      <c r="M90" s="12"/>
      <c r="N90" s="12"/>
      <c r="O90" s="12"/>
      <c r="P90" s="12"/>
      <c r="Q90" s="12"/>
      <c r="R90" s="12"/>
      <c r="S90" s="13" t="str">
        <f aca="false">IF(COUNT(G90:L90)=0,"",SUM(G90:L90))</f>
        <v/>
      </c>
      <c r="T90" s="14" t="str">
        <f aca="false">IF(COUNT(M90:R90)=0,"",SUM(M90:R90))</f>
        <v/>
      </c>
      <c r="U90" s="9"/>
      <c r="V90" s="15"/>
      <c r="Y90" s="16" t="str">
        <f aca="false">IF(AND(A90="",B90="",D90="",COUNT(G90:L90)=0),"",IF(D90="","Missing shooter",IF(A90="","Missing date",IF(B90="","Missing event",IF(E90="","Club not in roster (type manually)",IF(COUNT(G90:L90)=0,"No scores entered",IF(U90="","Set status (official/provisional)",IF(COUNTIFS($A$2:$A$101,A90,$B$2:$B$101,B90,$D$2:$D$101,D90)&gt;1,"Duplicate entry","OK to upload"))))))))</f>
        <v/>
      </c>
    </row>
    <row r="91" customFormat="false" ht="15" hidden="false" customHeight="true" outlineLevel="0" collapsed="false">
      <c r="A91" s="8"/>
      <c r="B91" s="9"/>
      <c r="C91" s="9"/>
      <c r="D91" s="9"/>
      <c r="E91" s="10" t="str">
        <f aca="false">IFERROR(IF(D91="","",VLOOKUP(D91,Members!$A$2:$C$16,2,FALSE())),"")</f>
        <v/>
      </c>
      <c r="F91" s="10" t="str">
        <f aca="false">IFERROR(IF(D91="","",VLOOKUP(D91,Members!$A$2:$C$16,3,FALSE())),"")</f>
        <v/>
      </c>
      <c r="G91" s="11"/>
      <c r="H91" s="11"/>
      <c r="I91" s="11"/>
      <c r="J91" s="11"/>
      <c r="K91" s="11"/>
      <c r="L91" s="11"/>
      <c r="M91" s="12"/>
      <c r="N91" s="12"/>
      <c r="O91" s="12"/>
      <c r="P91" s="12"/>
      <c r="Q91" s="12"/>
      <c r="R91" s="12"/>
      <c r="S91" s="13" t="str">
        <f aca="false">IF(COUNT(G91:L91)=0,"",SUM(G91:L91))</f>
        <v/>
      </c>
      <c r="T91" s="14" t="str">
        <f aca="false">IF(COUNT(M91:R91)=0,"",SUM(M91:R91))</f>
        <v/>
      </c>
      <c r="U91" s="9"/>
      <c r="V91" s="15"/>
      <c r="Y91" s="16" t="str">
        <f aca="false">IF(AND(A91="",B91="",D91="",COUNT(G91:L91)=0),"",IF(D91="","Missing shooter",IF(A91="","Missing date",IF(B91="","Missing event",IF(E91="","Club not in roster (type manually)",IF(COUNT(G91:L91)=0,"No scores entered",IF(U91="","Set status (official/provisional)",IF(COUNTIFS($A$2:$A$101,A91,$B$2:$B$101,B91,$D$2:$D$101,D91)&gt;1,"Duplicate entry","OK to upload"))))))))</f>
        <v/>
      </c>
    </row>
    <row r="92" customFormat="false" ht="15" hidden="false" customHeight="true" outlineLevel="0" collapsed="false">
      <c r="A92" s="8"/>
      <c r="B92" s="9"/>
      <c r="C92" s="9"/>
      <c r="D92" s="9"/>
      <c r="E92" s="10" t="str">
        <f aca="false">IFERROR(IF(D92="","",VLOOKUP(D92,Members!$A$2:$C$16,2,FALSE())),"")</f>
        <v/>
      </c>
      <c r="F92" s="10" t="str">
        <f aca="false">IFERROR(IF(D92="","",VLOOKUP(D92,Members!$A$2:$C$16,3,FALSE())),"")</f>
        <v/>
      </c>
      <c r="G92" s="11"/>
      <c r="H92" s="11"/>
      <c r="I92" s="11"/>
      <c r="J92" s="11"/>
      <c r="K92" s="11"/>
      <c r="L92" s="11"/>
      <c r="M92" s="12"/>
      <c r="N92" s="12"/>
      <c r="O92" s="12"/>
      <c r="P92" s="12"/>
      <c r="Q92" s="12"/>
      <c r="R92" s="12"/>
      <c r="S92" s="13" t="str">
        <f aca="false">IF(COUNT(G92:L92)=0,"",SUM(G92:L92))</f>
        <v/>
      </c>
      <c r="T92" s="14" t="str">
        <f aca="false">IF(COUNT(M92:R92)=0,"",SUM(M92:R92))</f>
        <v/>
      </c>
      <c r="U92" s="9"/>
      <c r="V92" s="15"/>
      <c r="Y92" s="16" t="str">
        <f aca="false">IF(AND(A92="",B92="",D92="",COUNT(G92:L92)=0),"",IF(D92="","Missing shooter",IF(A92="","Missing date",IF(B92="","Missing event",IF(E92="","Club not in roster (type manually)",IF(COUNT(G92:L92)=0,"No scores entered",IF(U92="","Set status (official/provisional)",IF(COUNTIFS($A$2:$A$101,A92,$B$2:$B$101,B92,$D$2:$D$101,D92)&gt;1,"Duplicate entry","OK to upload"))))))))</f>
        <v/>
      </c>
    </row>
    <row r="93" customFormat="false" ht="15" hidden="false" customHeight="true" outlineLevel="0" collapsed="false">
      <c r="A93" s="8"/>
      <c r="B93" s="9"/>
      <c r="C93" s="9"/>
      <c r="D93" s="9"/>
      <c r="E93" s="10" t="str">
        <f aca="false">IFERROR(IF(D93="","",VLOOKUP(D93,Members!$A$2:$C$16,2,FALSE())),"")</f>
        <v/>
      </c>
      <c r="F93" s="10" t="str">
        <f aca="false">IFERROR(IF(D93="","",VLOOKUP(D93,Members!$A$2:$C$16,3,FALSE())),"")</f>
        <v/>
      </c>
      <c r="G93" s="11"/>
      <c r="H93" s="11"/>
      <c r="I93" s="11"/>
      <c r="J93" s="11"/>
      <c r="K93" s="11"/>
      <c r="L93" s="11"/>
      <c r="M93" s="12"/>
      <c r="N93" s="12"/>
      <c r="O93" s="12"/>
      <c r="P93" s="12"/>
      <c r="Q93" s="12"/>
      <c r="R93" s="12"/>
      <c r="S93" s="13" t="str">
        <f aca="false">IF(COUNT(G93:L93)=0,"",SUM(G93:L93))</f>
        <v/>
      </c>
      <c r="T93" s="14" t="str">
        <f aca="false">IF(COUNT(M93:R93)=0,"",SUM(M93:R93))</f>
        <v/>
      </c>
      <c r="U93" s="9"/>
      <c r="V93" s="15"/>
      <c r="Y93" s="16" t="str">
        <f aca="false">IF(AND(A93="",B93="",D93="",COUNT(G93:L93)=0),"",IF(D93="","Missing shooter",IF(A93="","Missing date",IF(B93="","Missing event",IF(E93="","Club not in roster (type manually)",IF(COUNT(G93:L93)=0,"No scores entered",IF(U93="","Set status (official/provisional)",IF(COUNTIFS($A$2:$A$101,A93,$B$2:$B$101,B93,$D$2:$D$101,D93)&gt;1,"Duplicate entry","OK to upload"))))))))</f>
        <v/>
      </c>
    </row>
    <row r="94" customFormat="false" ht="15" hidden="false" customHeight="true" outlineLevel="0" collapsed="false">
      <c r="A94" s="8"/>
      <c r="B94" s="9"/>
      <c r="C94" s="9"/>
      <c r="D94" s="9"/>
      <c r="E94" s="10" t="str">
        <f aca="false">IFERROR(IF(D94="","",VLOOKUP(D94,Members!$A$2:$C$16,2,FALSE())),"")</f>
        <v/>
      </c>
      <c r="F94" s="10" t="str">
        <f aca="false">IFERROR(IF(D94="","",VLOOKUP(D94,Members!$A$2:$C$16,3,FALSE())),"")</f>
        <v/>
      </c>
      <c r="G94" s="11"/>
      <c r="H94" s="11"/>
      <c r="I94" s="11"/>
      <c r="J94" s="11"/>
      <c r="K94" s="11"/>
      <c r="L94" s="11"/>
      <c r="M94" s="12"/>
      <c r="N94" s="12"/>
      <c r="O94" s="12"/>
      <c r="P94" s="12"/>
      <c r="Q94" s="12"/>
      <c r="R94" s="12"/>
      <c r="S94" s="13" t="str">
        <f aca="false">IF(COUNT(G94:L94)=0,"",SUM(G94:L94))</f>
        <v/>
      </c>
      <c r="T94" s="14" t="str">
        <f aca="false">IF(COUNT(M94:R94)=0,"",SUM(M94:R94))</f>
        <v/>
      </c>
      <c r="U94" s="9"/>
      <c r="V94" s="15"/>
      <c r="Y94" s="16" t="str">
        <f aca="false">IF(AND(A94="",B94="",D94="",COUNT(G94:L94)=0),"",IF(D94="","Missing shooter",IF(A94="","Missing date",IF(B94="","Missing event",IF(E94="","Club not in roster (type manually)",IF(COUNT(G94:L94)=0,"No scores entered",IF(U94="","Set status (official/provisional)",IF(COUNTIFS($A$2:$A$101,A94,$B$2:$B$101,B94,$D$2:$D$101,D94)&gt;1,"Duplicate entry","OK to upload"))))))))</f>
        <v/>
      </c>
    </row>
    <row r="95" customFormat="false" ht="15" hidden="false" customHeight="true" outlineLevel="0" collapsed="false">
      <c r="A95" s="8"/>
      <c r="B95" s="9"/>
      <c r="C95" s="9"/>
      <c r="D95" s="9"/>
      <c r="E95" s="10" t="str">
        <f aca="false">IFERROR(IF(D95="","",VLOOKUP(D95,Members!$A$2:$C$16,2,FALSE())),"")</f>
        <v/>
      </c>
      <c r="F95" s="10" t="str">
        <f aca="false">IFERROR(IF(D95="","",VLOOKUP(D95,Members!$A$2:$C$16,3,FALSE())),"")</f>
        <v/>
      </c>
      <c r="G95" s="11"/>
      <c r="H95" s="11"/>
      <c r="I95" s="11"/>
      <c r="J95" s="11"/>
      <c r="K95" s="11"/>
      <c r="L95" s="11"/>
      <c r="M95" s="12"/>
      <c r="N95" s="12"/>
      <c r="O95" s="12"/>
      <c r="P95" s="12"/>
      <c r="Q95" s="12"/>
      <c r="R95" s="12"/>
      <c r="S95" s="13" t="str">
        <f aca="false">IF(COUNT(G95:L95)=0,"",SUM(G95:L95))</f>
        <v/>
      </c>
      <c r="T95" s="14" t="str">
        <f aca="false">IF(COUNT(M95:R95)=0,"",SUM(M95:R95))</f>
        <v/>
      </c>
      <c r="U95" s="9"/>
      <c r="V95" s="15"/>
      <c r="Y95" s="16" t="str">
        <f aca="false">IF(AND(A95="",B95="",D95="",COUNT(G95:L95)=0),"",IF(D95="","Missing shooter",IF(A95="","Missing date",IF(B95="","Missing event",IF(E95="","Club not in roster (type manually)",IF(COUNT(G95:L95)=0,"No scores entered",IF(U95="","Set status (official/provisional)",IF(COUNTIFS($A$2:$A$101,A95,$B$2:$B$101,B95,$D$2:$D$101,D95)&gt;1,"Duplicate entry","OK to upload"))))))))</f>
        <v/>
      </c>
    </row>
    <row r="96" customFormat="false" ht="15" hidden="false" customHeight="true" outlineLevel="0" collapsed="false">
      <c r="A96" s="8"/>
      <c r="B96" s="9"/>
      <c r="C96" s="9"/>
      <c r="D96" s="9"/>
      <c r="E96" s="10" t="str">
        <f aca="false">IFERROR(IF(D96="","",VLOOKUP(D96,Members!$A$2:$C$16,2,FALSE())),"")</f>
        <v/>
      </c>
      <c r="F96" s="10" t="str">
        <f aca="false">IFERROR(IF(D96="","",VLOOKUP(D96,Members!$A$2:$C$16,3,FALSE())),"")</f>
        <v/>
      </c>
      <c r="G96" s="11"/>
      <c r="H96" s="11"/>
      <c r="I96" s="11"/>
      <c r="J96" s="11"/>
      <c r="K96" s="11"/>
      <c r="L96" s="11"/>
      <c r="M96" s="12"/>
      <c r="N96" s="12"/>
      <c r="O96" s="12"/>
      <c r="P96" s="12"/>
      <c r="Q96" s="12"/>
      <c r="R96" s="12"/>
      <c r="S96" s="13" t="str">
        <f aca="false">IF(COUNT(G96:L96)=0,"",SUM(G96:L96))</f>
        <v/>
      </c>
      <c r="T96" s="14" t="str">
        <f aca="false">IF(COUNT(M96:R96)=0,"",SUM(M96:R96))</f>
        <v/>
      </c>
      <c r="U96" s="9"/>
      <c r="V96" s="15"/>
      <c r="Y96" s="16" t="str">
        <f aca="false">IF(AND(A96="",B96="",D96="",COUNT(G96:L96)=0),"",IF(D96="","Missing shooter",IF(A96="","Missing date",IF(B96="","Missing event",IF(E96="","Club not in roster (type manually)",IF(COUNT(G96:L96)=0,"No scores entered",IF(U96="","Set status (official/provisional)",IF(COUNTIFS($A$2:$A$101,A96,$B$2:$B$101,B96,$D$2:$D$101,D96)&gt;1,"Duplicate entry","OK to upload"))))))))</f>
        <v/>
      </c>
    </row>
    <row r="97" customFormat="false" ht="15" hidden="false" customHeight="true" outlineLevel="0" collapsed="false">
      <c r="A97" s="8"/>
      <c r="B97" s="9"/>
      <c r="C97" s="9"/>
      <c r="D97" s="9"/>
      <c r="E97" s="10" t="str">
        <f aca="false">IFERROR(IF(D97="","",VLOOKUP(D97,Members!$A$2:$C$16,2,FALSE())),"")</f>
        <v/>
      </c>
      <c r="F97" s="10" t="str">
        <f aca="false">IFERROR(IF(D97="","",VLOOKUP(D97,Members!$A$2:$C$16,3,FALSE())),"")</f>
        <v/>
      </c>
      <c r="G97" s="11"/>
      <c r="H97" s="11"/>
      <c r="I97" s="11"/>
      <c r="J97" s="11"/>
      <c r="K97" s="11"/>
      <c r="L97" s="11"/>
      <c r="M97" s="12"/>
      <c r="N97" s="12"/>
      <c r="O97" s="12"/>
      <c r="P97" s="12"/>
      <c r="Q97" s="12"/>
      <c r="R97" s="12"/>
      <c r="S97" s="13" t="str">
        <f aca="false">IF(COUNT(G97:L97)=0,"",SUM(G97:L97))</f>
        <v/>
      </c>
      <c r="T97" s="14" t="str">
        <f aca="false">IF(COUNT(M97:R97)=0,"",SUM(M97:R97))</f>
        <v/>
      </c>
      <c r="U97" s="9"/>
      <c r="V97" s="15"/>
      <c r="Y97" s="16" t="str">
        <f aca="false">IF(AND(A97="",B97="",D97="",COUNT(G97:L97)=0),"",IF(D97="","Missing shooter",IF(A97="","Missing date",IF(B97="","Missing event",IF(E97="","Club not in roster (type manually)",IF(COUNT(G97:L97)=0,"No scores entered",IF(U97="","Set status (official/provisional)",IF(COUNTIFS($A$2:$A$101,A97,$B$2:$B$101,B97,$D$2:$D$101,D97)&gt;1,"Duplicate entry","OK to upload"))))))))</f>
        <v/>
      </c>
    </row>
    <row r="98" customFormat="false" ht="15" hidden="false" customHeight="true" outlineLevel="0" collapsed="false">
      <c r="A98" s="8"/>
      <c r="B98" s="9"/>
      <c r="C98" s="9"/>
      <c r="D98" s="9"/>
      <c r="E98" s="10" t="str">
        <f aca="false">IFERROR(IF(D98="","",VLOOKUP(D98,Members!$A$2:$C$16,2,FALSE())),"")</f>
        <v/>
      </c>
      <c r="F98" s="10" t="str">
        <f aca="false">IFERROR(IF(D98="","",VLOOKUP(D98,Members!$A$2:$C$16,3,FALSE())),"")</f>
        <v/>
      </c>
      <c r="G98" s="11"/>
      <c r="H98" s="11"/>
      <c r="I98" s="11"/>
      <c r="J98" s="11"/>
      <c r="K98" s="11"/>
      <c r="L98" s="11"/>
      <c r="M98" s="12"/>
      <c r="N98" s="12"/>
      <c r="O98" s="12"/>
      <c r="P98" s="12"/>
      <c r="Q98" s="12"/>
      <c r="R98" s="12"/>
      <c r="S98" s="13" t="str">
        <f aca="false">IF(COUNT(G98:L98)=0,"",SUM(G98:L98))</f>
        <v/>
      </c>
      <c r="T98" s="14" t="str">
        <f aca="false">IF(COUNT(M98:R98)=0,"",SUM(M98:R98))</f>
        <v/>
      </c>
      <c r="U98" s="9"/>
      <c r="V98" s="15"/>
      <c r="Y98" s="16" t="str">
        <f aca="false">IF(AND(A98="",B98="",D98="",COUNT(G98:L98)=0),"",IF(D98="","Missing shooter",IF(A98="","Missing date",IF(B98="","Missing event",IF(E98="","Club not in roster (type manually)",IF(COUNT(G98:L98)=0,"No scores entered",IF(U98="","Set status (official/provisional)",IF(COUNTIFS($A$2:$A$101,A98,$B$2:$B$101,B98,$D$2:$D$101,D98)&gt;1,"Duplicate entry","OK to upload"))))))))</f>
        <v/>
      </c>
    </row>
    <row r="99" customFormat="false" ht="15" hidden="false" customHeight="true" outlineLevel="0" collapsed="false">
      <c r="A99" s="8"/>
      <c r="B99" s="9"/>
      <c r="C99" s="9"/>
      <c r="D99" s="9"/>
      <c r="E99" s="10" t="str">
        <f aca="false">IFERROR(IF(D99="","",VLOOKUP(D99,Members!$A$2:$C$16,2,FALSE())),"")</f>
        <v/>
      </c>
      <c r="F99" s="10" t="str">
        <f aca="false">IFERROR(IF(D99="","",VLOOKUP(D99,Members!$A$2:$C$16,3,FALSE())),"")</f>
        <v/>
      </c>
      <c r="G99" s="11"/>
      <c r="H99" s="11"/>
      <c r="I99" s="11"/>
      <c r="J99" s="11"/>
      <c r="K99" s="11"/>
      <c r="L99" s="11"/>
      <c r="M99" s="12"/>
      <c r="N99" s="12"/>
      <c r="O99" s="12"/>
      <c r="P99" s="12"/>
      <c r="Q99" s="12"/>
      <c r="R99" s="12"/>
      <c r="S99" s="13" t="str">
        <f aca="false">IF(COUNT(G99:L99)=0,"",SUM(G99:L99))</f>
        <v/>
      </c>
      <c r="T99" s="14" t="str">
        <f aca="false">IF(COUNT(M99:R99)=0,"",SUM(M99:R99))</f>
        <v/>
      </c>
      <c r="U99" s="9"/>
      <c r="V99" s="15"/>
      <c r="Y99" s="16" t="str">
        <f aca="false">IF(AND(A99="",B99="",D99="",COUNT(G99:L99)=0),"",IF(D99="","Missing shooter",IF(A99="","Missing date",IF(B99="","Missing event",IF(E99="","Club not in roster (type manually)",IF(COUNT(G99:L99)=0,"No scores entered",IF(U99="","Set status (official/provisional)",IF(COUNTIFS($A$2:$A$101,A99,$B$2:$B$101,B99,$D$2:$D$101,D99)&gt;1,"Duplicate entry","OK to upload"))))))))</f>
        <v/>
      </c>
    </row>
    <row r="100" customFormat="false" ht="15" hidden="false" customHeight="true" outlineLevel="0" collapsed="false">
      <c r="A100" s="8"/>
      <c r="B100" s="9"/>
      <c r="C100" s="9"/>
      <c r="D100" s="9"/>
      <c r="E100" s="10" t="str">
        <f aca="false">IFERROR(IF(D100="","",VLOOKUP(D100,Members!$A$2:$C$16,2,FALSE())),"")</f>
        <v/>
      </c>
      <c r="F100" s="10" t="str">
        <f aca="false">IFERROR(IF(D100="","",VLOOKUP(D100,Members!$A$2:$C$16,3,FALSE())),"")</f>
        <v/>
      </c>
      <c r="G100" s="11"/>
      <c r="H100" s="11"/>
      <c r="I100" s="11"/>
      <c r="J100" s="11"/>
      <c r="K100" s="11"/>
      <c r="L100" s="11"/>
      <c r="M100" s="12"/>
      <c r="N100" s="12"/>
      <c r="O100" s="12"/>
      <c r="P100" s="12"/>
      <c r="Q100" s="12"/>
      <c r="R100" s="12"/>
      <c r="S100" s="13" t="str">
        <f aca="false">IF(COUNT(G100:L100)=0,"",SUM(G100:L100))</f>
        <v/>
      </c>
      <c r="T100" s="14" t="str">
        <f aca="false">IF(COUNT(M100:R100)=0,"",SUM(M100:R100))</f>
        <v/>
      </c>
      <c r="U100" s="9"/>
      <c r="V100" s="15"/>
      <c r="Y100" s="16" t="str">
        <f aca="false">IF(AND(A100="",B100="",D100="",COUNT(G100:L100)=0),"",IF(D100="","Missing shooter",IF(A100="","Missing date",IF(B100="","Missing event",IF(E100="","Club not in roster (type manually)",IF(COUNT(G100:L100)=0,"No scores entered",IF(U100="","Set status (official/provisional)",IF(COUNTIFS($A$2:$A$101,A100,$B$2:$B$101,B100,$D$2:$D$101,D100)&gt;1,"Duplicate entry","OK to upload"))))))))</f>
        <v/>
      </c>
    </row>
    <row r="101" customFormat="false" ht="15" hidden="false" customHeight="true" outlineLevel="0" collapsed="false">
      <c r="A101" s="8"/>
      <c r="B101" s="9"/>
      <c r="C101" s="9"/>
      <c r="D101" s="9"/>
      <c r="E101" s="10" t="str">
        <f aca="false">IFERROR(IF(D101="","",VLOOKUP(D101,Members!$A$2:$C$16,2,FALSE())),"")</f>
        <v/>
      </c>
      <c r="F101" s="10" t="str">
        <f aca="false">IFERROR(IF(D101="","",VLOOKUP(D101,Members!$A$2:$C$16,3,FALSE())),"")</f>
        <v/>
      </c>
      <c r="G101" s="11"/>
      <c r="H101" s="11"/>
      <c r="I101" s="11"/>
      <c r="J101" s="11"/>
      <c r="K101" s="11"/>
      <c r="L101" s="11"/>
      <c r="M101" s="12"/>
      <c r="N101" s="12"/>
      <c r="O101" s="12"/>
      <c r="P101" s="12"/>
      <c r="Q101" s="12"/>
      <c r="R101" s="12"/>
      <c r="S101" s="13" t="str">
        <f aca="false">IF(COUNT(G101:L101)=0,"",SUM(G101:L101))</f>
        <v/>
      </c>
      <c r="T101" s="14" t="str">
        <f aca="false">IF(COUNT(M101:R101)=0,"",SUM(M101:R101))</f>
        <v/>
      </c>
      <c r="U101" s="9"/>
      <c r="V101" s="15"/>
      <c r="Y101" s="16" t="str">
        <f aca="false">IF(AND(A101="",B101="",D101="",COUNT(G101:L101)=0),"",IF(D101="","Missing shooter",IF(A101="","Missing date",IF(B101="","Missing event",IF(E101="","Club not in roster (type manually)",IF(COUNT(G101:L101)=0,"No scores entered",IF(U101="","Set status (official/provisional)",IF(COUNTIFS($A$2:$A$101,A101,$B$2:$B$101,B101,$D$2:$D$101,D101)&gt;1,"Duplicate entry","OK to upload"))))))))</f>
        <v/>
      </c>
    </row>
  </sheetData>
  <conditionalFormatting sqref="A2:Y101">
    <cfRule type="expression" priority="2" aboveAverage="0" equalAverage="0" bottom="0" percent="0" rank="0" text="" dxfId="0">
      <formula>$Y2="OK to upload"</formula>
    </cfRule>
    <cfRule type="expression" priority="3" aboveAverage="0" equalAverage="0" bottom="0" percent="0" rank="0" text="" dxfId="1">
      <formula>AND($Y2&lt;&gt;"",$Y2&lt;&gt;"OK to upload")</formula>
    </cfRule>
  </conditionalFormatting>
  <dataValidations count="8">
    <dataValidation allowBlank="true" errorStyle="stop" operator="between" showDropDown="false" showErrorMessage="false" showInputMessage="false" sqref="C2:C101" type="list">
      <formula1>"prone_50m"</formula1>
      <formula2>0</formula2>
    </dataValidation>
    <dataValidation allowBlank="true" errorStyle="stop" operator="between" showDropDown="false" showErrorMessage="false" showInputMessage="false" sqref="D2:D101" type="list">
      <formula1>Members!$A$2:$A$16</formula1>
      <formula2>0</formula2>
    </dataValidation>
    <dataValidation allowBlank="true" errorStyle="stop" operator="between" showDropDown="false" showErrorMessage="false" showInputMessage="false" sqref="E2:E101" type="list">
      <formula1>"Modderbee,SATRF Club,Pretoria RC,Bloem Marksmen,Cape Rifle Club"</formula1>
      <formula2>0</formula2>
    </dataValidation>
    <dataValidation allowBlank="true" errorStyle="stop" operator="between" showDropDown="false" showErrorMessage="false" showInputMessage="false" sqref="F2:F101" type="list">
      <formula1>"open,junior,veteran,ladies"</formula1>
      <formula2>0</formula2>
    </dataValidation>
    <dataValidation allowBlank="true" errorStyle="stop" operator="between" showDropDown="false" showErrorMessage="false" showInputMessage="false" sqref="U2:U101" type="list">
      <formula1>"official,provisional"</formula1>
      <formula2>0</formula2>
    </dataValidation>
    <dataValidation allowBlank="true" error="A 10-shot decimal series cannot exceed 109.0" errorStyle="stop" errorTitle="Too high" operator="lessThanOrEqual" showDropDown="false" showErrorMessage="true" showInputMessage="false" sqref="G2:L101" type="decimal">
      <formula1>109</formula1>
      <formula2>0</formula2>
    </dataValidation>
    <dataValidation allowBlank="true" error="Ring total per series max 100" errorStyle="stop" errorTitle="Too high" operator="lessThanOrEqual" showDropDown="false" showErrorMessage="true" showInputMessage="false" sqref="M2:R101" type="whole">
      <formula1>100</formula1>
      <formula2>0</formula2>
    </dataValidation>
    <dataValidation allowBlank="true" errorStyle="stop" operator="between" showDropDown="false" showErrorMessage="false" showInputMessage="false" sqref="A2:A101" type="list">
      <formula1>Dates!$A$1:$A$730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18" min="7" style="1" width="8"/>
    <col collapsed="false" customWidth="true" hidden="false" outlineLevel="0" max="20" min="19" style="1" width="11"/>
    <col collapsed="false" customWidth="true" hidden="false" outlineLevel="0" max="21" min="21" style="1" width="12"/>
    <col collapsed="false" customWidth="true" hidden="false" outlineLevel="0" max="22" min="22" style="1" width="28"/>
    <col collapsed="false" customWidth="true" hidden="false" outlineLevel="0" max="25" min="25" style="1" width="26"/>
  </cols>
  <sheetData>
    <row r="1" customFormat="false" ht="30" hidden="false" customHeight="tru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24</v>
      </c>
      <c r="V1" s="6" t="s">
        <v>48</v>
      </c>
      <c r="X1" s="7"/>
      <c r="Y1" s="6" t="s">
        <v>49</v>
      </c>
    </row>
    <row r="2" customFormat="false" ht="15" hidden="false" customHeight="true" outlineLevel="0" collapsed="false">
      <c r="A2" s="8" t="s">
        <v>59</v>
      </c>
      <c r="B2" s="9" t="s">
        <v>60</v>
      </c>
      <c r="C2" s="9" t="s">
        <v>61</v>
      </c>
      <c r="D2" s="9" t="s">
        <v>62</v>
      </c>
      <c r="E2" s="10" t="str">
        <f aca="false">IFERROR(IF(D2="","",VLOOKUP(D2,Members!$A$2:$C$16,2,FALSE())),"")</f>
        <v>Pretoria RC</v>
      </c>
      <c r="F2" s="10" t="str">
        <f aca="false">IFERROR(IF(D2="","",VLOOKUP(D2,Members!$A$2:$C$16,3,FALSE())),"")</f>
        <v>open</v>
      </c>
      <c r="G2" s="11" t="n">
        <v>99</v>
      </c>
      <c r="H2" s="11" t="n">
        <v>98</v>
      </c>
      <c r="I2" s="11" t="n">
        <v>100</v>
      </c>
      <c r="J2" s="11" t="n">
        <v>97</v>
      </c>
      <c r="K2" s="11" t="n">
        <v>99</v>
      </c>
      <c r="L2" s="11" t="n">
        <v>98</v>
      </c>
      <c r="M2" s="12" t="n">
        <v>49</v>
      </c>
      <c r="N2" s="12" t="n">
        <v>48</v>
      </c>
      <c r="O2" s="12" t="n">
        <v>50</v>
      </c>
      <c r="P2" s="12" t="n">
        <v>47</v>
      </c>
      <c r="Q2" s="12" t="n">
        <v>49</v>
      </c>
      <c r="R2" s="12" t="n">
        <v>48</v>
      </c>
      <c r="S2" s="13" t="n">
        <f aca="false">IF(COUNT(G2:L2)=0,"",SUM(G2:L2))</f>
        <v>591</v>
      </c>
      <c r="T2" s="14" t="n">
        <f aca="false">IF(COUNT(M2:R2)=0,"",SUM(M2:R2))</f>
        <v>291</v>
      </c>
      <c r="U2" s="9" t="s">
        <v>54</v>
      </c>
      <c r="V2" s="15" t="s">
        <v>63</v>
      </c>
      <c r="Y2" s="16" t="str">
        <f aca="false">IF(AND(A2="",B2="",D2="",COUNT(G2:L2)=0),"",IF(D2="","Missing shooter",IF(A2="","Missing date",IF(B2="","Missing event",IF(E2="","Club not in roster (type manually)",IF(COUNT(G2:L2)=0,"No scores entered",IF(U2="","Set status (official/provisional)",IF(COUNTIFS($A$2:$A$101,A2,$B$2:$B$101,B2,$D$2:$D$101,D2)&gt;1,"Duplicate entry","OK to upload"))))))))</f>
        <v>OK to upload</v>
      </c>
    </row>
    <row r="3" customFormat="false" ht="15" hidden="false" customHeight="true" outlineLevel="0" collapsed="false">
      <c r="A3" s="8"/>
      <c r="B3" s="9"/>
      <c r="C3" s="9"/>
      <c r="D3" s="9"/>
      <c r="E3" s="10" t="str">
        <f aca="false">IFERROR(IF(D3="","",VLOOKUP(D3,Members!$A$2:$C$16,2,FALSE())),"")</f>
        <v/>
      </c>
      <c r="F3" s="10" t="str">
        <f aca="false">IFERROR(IF(D3="","",VLOOKUP(D3,Members!$A$2:$C$16,3,FALSE())),"")</f>
        <v/>
      </c>
      <c r="G3" s="11"/>
      <c r="H3" s="11"/>
      <c r="I3" s="11"/>
      <c r="J3" s="11"/>
      <c r="K3" s="11"/>
      <c r="L3" s="11"/>
      <c r="M3" s="12"/>
      <c r="N3" s="12"/>
      <c r="O3" s="12"/>
      <c r="P3" s="12"/>
      <c r="Q3" s="12"/>
      <c r="R3" s="12"/>
      <c r="S3" s="13" t="str">
        <f aca="false">IF(COUNT(G3:L3)=0,"",SUM(G3:L3))</f>
        <v/>
      </c>
      <c r="T3" s="14" t="str">
        <f aca="false">IF(COUNT(M3:R3)=0,"",SUM(M3:R3))</f>
        <v/>
      </c>
      <c r="U3" s="9"/>
      <c r="V3" s="15"/>
      <c r="Y3" s="16" t="str">
        <f aca="false">IF(AND(A3="",B3="",D3="",COUNT(G3:L3)=0),"",IF(D3="","Missing shooter",IF(A3="","Missing date",IF(B3="","Missing event",IF(E3="","Club not in roster (type manually)",IF(COUNT(G3:L3)=0,"No scores entered",IF(U3="","Set status (official/provisional)",IF(COUNTIFS($A$2:$A$101,A3,$B$2:$B$101,B3,$D$2:$D$101,D3)&gt;1,"Duplicate entry","OK to upload"))))))))</f>
        <v/>
      </c>
    </row>
    <row r="4" customFormat="false" ht="15" hidden="false" customHeight="true" outlineLevel="0" collapsed="false">
      <c r="A4" s="8"/>
      <c r="B4" s="9"/>
      <c r="C4" s="9"/>
      <c r="D4" s="9"/>
      <c r="E4" s="10" t="str">
        <f aca="false">IFERROR(IF(D4="","",VLOOKUP(D4,Members!$A$2:$C$16,2,FALSE())),"")</f>
        <v/>
      </c>
      <c r="F4" s="10" t="str">
        <f aca="false">IFERROR(IF(D4="","",VLOOKUP(D4,Members!$A$2:$C$16,3,FALSE())),"")</f>
        <v/>
      </c>
      <c r="G4" s="11"/>
      <c r="H4" s="11"/>
      <c r="I4" s="11"/>
      <c r="J4" s="11"/>
      <c r="K4" s="11"/>
      <c r="L4" s="11"/>
      <c r="M4" s="12"/>
      <c r="N4" s="12"/>
      <c r="O4" s="12"/>
      <c r="P4" s="12"/>
      <c r="Q4" s="12"/>
      <c r="R4" s="12"/>
      <c r="S4" s="13" t="str">
        <f aca="false">IF(COUNT(G4:L4)=0,"",SUM(G4:L4))</f>
        <v/>
      </c>
      <c r="T4" s="14" t="str">
        <f aca="false">IF(COUNT(M4:R4)=0,"",SUM(M4:R4))</f>
        <v/>
      </c>
      <c r="U4" s="9"/>
      <c r="V4" s="15"/>
      <c r="Y4" s="16" t="str">
        <f aca="false">IF(AND(A4="",B4="",D4="",COUNT(G4:L4)=0),"",IF(D4="","Missing shooter",IF(A4="","Missing date",IF(B4="","Missing event",IF(E4="","Club not in roster (type manually)",IF(COUNT(G4:L4)=0,"No scores entered",IF(U4="","Set status (official/provisional)",IF(COUNTIFS($A$2:$A$101,A4,$B$2:$B$101,B4,$D$2:$D$101,D4)&gt;1,"Duplicate entry","OK to upload"))))))))</f>
        <v/>
      </c>
    </row>
    <row r="5" customFormat="false" ht="15" hidden="false" customHeight="true" outlineLevel="0" collapsed="false">
      <c r="A5" s="8"/>
      <c r="B5" s="9"/>
      <c r="C5" s="9"/>
      <c r="D5" s="9"/>
      <c r="E5" s="10" t="str">
        <f aca="false">IFERROR(IF(D5="","",VLOOKUP(D5,Members!$A$2:$C$16,2,FALSE())),"")</f>
        <v/>
      </c>
      <c r="F5" s="10" t="str">
        <f aca="false">IFERROR(IF(D5="","",VLOOKUP(D5,Members!$A$2:$C$16,3,FALSE())),"")</f>
        <v/>
      </c>
      <c r="G5" s="11"/>
      <c r="H5" s="11"/>
      <c r="I5" s="11"/>
      <c r="J5" s="11"/>
      <c r="K5" s="11"/>
      <c r="L5" s="11"/>
      <c r="M5" s="12"/>
      <c r="N5" s="12"/>
      <c r="O5" s="12"/>
      <c r="P5" s="12"/>
      <c r="Q5" s="12"/>
      <c r="R5" s="12"/>
      <c r="S5" s="13" t="str">
        <f aca="false">IF(COUNT(G5:L5)=0,"",SUM(G5:L5))</f>
        <v/>
      </c>
      <c r="T5" s="14" t="str">
        <f aca="false">IF(COUNT(M5:R5)=0,"",SUM(M5:R5))</f>
        <v/>
      </c>
      <c r="U5" s="9"/>
      <c r="V5" s="15"/>
      <c r="Y5" s="16" t="str">
        <f aca="false">IF(AND(A5="",B5="",D5="",COUNT(G5:L5)=0),"",IF(D5="","Missing shooter",IF(A5="","Missing date",IF(B5="","Missing event",IF(E5="","Club not in roster (type manually)",IF(COUNT(G5:L5)=0,"No scores entered",IF(U5="","Set status (official/provisional)",IF(COUNTIFS($A$2:$A$101,A5,$B$2:$B$101,B5,$D$2:$D$101,D5)&gt;1,"Duplicate entry","OK to upload"))))))))</f>
        <v/>
      </c>
    </row>
    <row r="6" customFormat="false" ht="15" hidden="false" customHeight="true" outlineLevel="0" collapsed="false">
      <c r="A6" s="8"/>
      <c r="B6" s="9"/>
      <c r="C6" s="9"/>
      <c r="D6" s="9"/>
      <c r="E6" s="10" t="str">
        <f aca="false">IFERROR(IF(D6="","",VLOOKUP(D6,Members!$A$2:$C$16,2,FALSE())),"")</f>
        <v/>
      </c>
      <c r="F6" s="10" t="str">
        <f aca="false">IFERROR(IF(D6="","",VLOOKUP(D6,Members!$A$2:$C$16,3,FALSE())),"")</f>
        <v/>
      </c>
      <c r="G6" s="11"/>
      <c r="H6" s="11"/>
      <c r="I6" s="11"/>
      <c r="J6" s="11"/>
      <c r="K6" s="11"/>
      <c r="L6" s="11"/>
      <c r="M6" s="12"/>
      <c r="N6" s="12"/>
      <c r="O6" s="12"/>
      <c r="P6" s="12"/>
      <c r="Q6" s="12"/>
      <c r="R6" s="12"/>
      <c r="S6" s="13" t="str">
        <f aca="false">IF(COUNT(G6:L6)=0,"",SUM(G6:L6))</f>
        <v/>
      </c>
      <c r="T6" s="14" t="str">
        <f aca="false">IF(COUNT(M6:R6)=0,"",SUM(M6:R6))</f>
        <v/>
      </c>
      <c r="U6" s="9"/>
      <c r="V6" s="15"/>
      <c r="Y6" s="16" t="str">
        <f aca="false">IF(AND(A6="",B6="",D6="",COUNT(G6:L6)=0),"",IF(D6="","Missing shooter",IF(A6="","Missing date",IF(B6="","Missing event",IF(E6="","Club not in roster (type manually)",IF(COUNT(G6:L6)=0,"No scores entered",IF(U6="","Set status (official/provisional)",IF(COUNTIFS($A$2:$A$101,A6,$B$2:$B$101,B6,$D$2:$D$101,D6)&gt;1,"Duplicate entry","OK to upload"))))))))</f>
        <v/>
      </c>
    </row>
    <row r="7" customFormat="false" ht="15" hidden="false" customHeight="true" outlineLevel="0" collapsed="false">
      <c r="A7" s="8"/>
      <c r="B7" s="9"/>
      <c r="C7" s="9"/>
      <c r="D7" s="9"/>
      <c r="E7" s="10" t="str">
        <f aca="false">IFERROR(IF(D7="","",VLOOKUP(D7,Members!$A$2:$C$16,2,FALSE())),"")</f>
        <v/>
      </c>
      <c r="F7" s="10" t="str">
        <f aca="false">IFERROR(IF(D7="","",VLOOKUP(D7,Members!$A$2:$C$16,3,FALSE())),"")</f>
        <v/>
      </c>
      <c r="G7" s="11"/>
      <c r="H7" s="11"/>
      <c r="I7" s="11"/>
      <c r="J7" s="11"/>
      <c r="K7" s="11"/>
      <c r="L7" s="11"/>
      <c r="M7" s="12"/>
      <c r="N7" s="12"/>
      <c r="O7" s="12"/>
      <c r="P7" s="12"/>
      <c r="Q7" s="12"/>
      <c r="R7" s="12"/>
      <c r="S7" s="13" t="str">
        <f aca="false">IF(COUNT(G7:L7)=0,"",SUM(G7:L7))</f>
        <v/>
      </c>
      <c r="T7" s="14" t="str">
        <f aca="false">IF(COUNT(M7:R7)=0,"",SUM(M7:R7))</f>
        <v/>
      </c>
      <c r="U7" s="9"/>
      <c r="V7" s="15"/>
      <c r="Y7" s="16" t="str">
        <f aca="false">IF(AND(A7="",B7="",D7="",COUNT(G7:L7)=0),"",IF(D7="","Missing shooter",IF(A7="","Missing date",IF(B7="","Missing event",IF(E7="","Club not in roster (type manually)",IF(COUNT(G7:L7)=0,"No scores entered",IF(U7="","Set status (official/provisional)",IF(COUNTIFS($A$2:$A$101,A7,$B$2:$B$101,B7,$D$2:$D$101,D7)&gt;1,"Duplicate entry","OK to upload"))))))))</f>
        <v/>
      </c>
    </row>
    <row r="8" customFormat="false" ht="15" hidden="false" customHeight="true" outlineLevel="0" collapsed="false">
      <c r="A8" s="8"/>
      <c r="B8" s="9"/>
      <c r="C8" s="9"/>
      <c r="D8" s="9"/>
      <c r="E8" s="10" t="str">
        <f aca="false">IFERROR(IF(D8="","",VLOOKUP(D8,Members!$A$2:$C$16,2,FALSE())),"")</f>
        <v/>
      </c>
      <c r="F8" s="10" t="str">
        <f aca="false">IFERROR(IF(D8="","",VLOOKUP(D8,Members!$A$2:$C$16,3,FALSE())),"")</f>
        <v/>
      </c>
      <c r="G8" s="11"/>
      <c r="H8" s="11"/>
      <c r="I8" s="11"/>
      <c r="J8" s="11"/>
      <c r="K8" s="11"/>
      <c r="L8" s="11"/>
      <c r="M8" s="12"/>
      <c r="N8" s="12"/>
      <c r="O8" s="12"/>
      <c r="P8" s="12"/>
      <c r="Q8" s="12"/>
      <c r="R8" s="12"/>
      <c r="S8" s="13" t="str">
        <f aca="false">IF(COUNT(G8:L8)=0,"",SUM(G8:L8))</f>
        <v/>
      </c>
      <c r="T8" s="14" t="str">
        <f aca="false">IF(COUNT(M8:R8)=0,"",SUM(M8:R8))</f>
        <v/>
      </c>
      <c r="U8" s="9"/>
      <c r="V8" s="15"/>
      <c r="Y8" s="16" t="str">
        <f aca="false">IF(AND(A8="",B8="",D8="",COUNT(G8:L8)=0),"",IF(D8="","Missing shooter",IF(A8="","Missing date",IF(B8="","Missing event",IF(E8="","Club not in roster (type manually)",IF(COUNT(G8:L8)=0,"No scores entered",IF(U8="","Set status (official/provisional)",IF(COUNTIFS($A$2:$A$101,A8,$B$2:$B$101,B8,$D$2:$D$101,D8)&gt;1,"Duplicate entry","OK to upload"))))))))</f>
        <v/>
      </c>
    </row>
    <row r="9" customFormat="false" ht="15" hidden="false" customHeight="true" outlineLevel="0" collapsed="false">
      <c r="A9" s="8"/>
      <c r="B9" s="9"/>
      <c r="C9" s="9"/>
      <c r="D9" s="9"/>
      <c r="E9" s="10" t="str">
        <f aca="false">IFERROR(IF(D9="","",VLOOKUP(D9,Members!$A$2:$C$16,2,FALSE())),"")</f>
        <v/>
      </c>
      <c r="F9" s="10" t="str">
        <f aca="false">IFERROR(IF(D9="","",VLOOKUP(D9,Members!$A$2:$C$16,3,FALSE())),"")</f>
        <v/>
      </c>
      <c r="G9" s="11"/>
      <c r="H9" s="11"/>
      <c r="I9" s="11"/>
      <c r="J9" s="11"/>
      <c r="K9" s="11"/>
      <c r="L9" s="11"/>
      <c r="M9" s="12"/>
      <c r="N9" s="12"/>
      <c r="O9" s="12"/>
      <c r="P9" s="12"/>
      <c r="Q9" s="12"/>
      <c r="R9" s="12"/>
      <c r="S9" s="13" t="str">
        <f aca="false">IF(COUNT(G9:L9)=0,"",SUM(G9:L9))</f>
        <v/>
      </c>
      <c r="T9" s="14" t="str">
        <f aca="false">IF(COUNT(M9:R9)=0,"",SUM(M9:R9))</f>
        <v/>
      </c>
      <c r="U9" s="9"/>
      <c r="V9" s="15"/>
      <c r="Y9" s="16" t="str">
        <f aca="false">IF(AND(A9="",B9="",D9="",COUNT(G9:L9)=0),"",IF(D9="","Missing shooter",IF(A9="","Missing date",IF(B9="","Missing event",IF(E9="","Club not in roster (type manually)",IF(COUNT(G9:L9)=0,"No scores entered",IF(U9="","Set status (official/provisional)",IF(COUNTIFS($A$2:$A$101,A9,$B$2:$B$101,B9,$D$2:$D$101,D9)&gt;1,"Duplicate entry","OK to upload"))))))))</f>
        <v/>
      </c>
    </row>
    <row r="10" customFormat="false" ht="15" hidden="false" customHeight="true" outlineLevel="0" collapsed="false">
      <c r="A10" s="8"/>
      <c r="B10" s="9"/>
      <c r="C10" s="9"/>
      <c r="D10" s="9"/>
      <c r="E10" s="10" t="str">
        <f aca="false">IFERROR(IF(D10="","",VLOOKUP(D10,Members!$A$2:$C$16,2,FALSE())),"")</f>
        <v/>
      </c>
      <c r="F10" s="10" t="str">
        <f aca="false">IFERROR(IF(D10="","",VLOOKUP(D10,Members!$A$2:$C$16,3,FALSE())),"")</f>
        <v/>
      </c>
      <c r="G10" s="11"/>
      <c r="H10" s="11"/>
      <c r="I10" s="11"/>
      <c r="J10" s="11"/>
      <c r="K10" s="11"/>
      <c r="L10" s="11"/>
      <c r="M10" s="12"/>
      <c r="N10" s="12"/>
      <c r="O10" s="12"/>
      <c r="P10" s="12"/>
      <c r="Q10" s="12"/>
      <c r="R10" s="12"/>
      <c r="S10" s="13" t="str">
        <f aca="false">IF(COUNT(G10:L10)=0,"",SUM(G10:L10))</f>
        <v/>
      </c>
      <c r="T10" s="14" t="str">
        <f aca="false">IF(COUNT(M10:R10)=0,"",SUM(M10:R10))</f>
        <v/>
      </c>
      <c r="U10" s="9"/>
      <c r="V10" s="15"/>
      <c r="Y10" s="16" t="str">
        <f aca="false">IF(AND(A10="",B10="",D10="",COUNT(G10:L10)=0),"",IF(D10="","Missing shooter",IF(A10="","Missing date",IF(B10="","Missing event",IF(E10="","Club not in roster (type manually)",IF(COUNT(G10:L10)=0,"No scores entered",IF(U10="","Set status (official/provisional)",IF(COUNTIFS($A$2:$A$101,A10,$B$2:$B$101,B10,$D$2:$D$101,D10)&gt;1,"Duplicate entry","OK to upload"))))))))</f>
        <v/>
      </c>
    </row>
    <row r="11" customFormat="false" ht="15" hidden="false" customHeight="true" outlineLevel="0" collapsed="false">
      <c r="A11" s="8"/>
      <c r="B11" s="9"/>
      <c r="C11" s="9"/>
      <c r="D11" s="9"/>
      <c r="E11" s="10" t="str">
        <f aca="false">IFERROR(IF(D11="","",VLOOKUP(D11,Members!$A$2:$C$16,2,FALSE())),"")</f>
        <v/>
      </c>
      <c r="F11" s="10" t="str">
        <f aca="false">IFERROR(IF(D11="","",VLOOKUP(D11,Members!$A$2:$C$16,3,FALSE())),"")</f>
        <v/>
      </c>
      <c r="G11" s="11"/>
      <c r="H11" s="11"/>
      <c r="I11" s="11"/>
      <c r="J11" s="11"/>
      <c r="K11" s="11"/>
      <c r="L11" s="11"/>
      <c r="M11" s="12"/>
      <c r="N11" s="12"/>
      <c r="O11" s="12"/>
      <c r="P11" s="12"/>
      <c r="Q11" s="12"/>
      <c r="R11" s="12"/>
      <c r="S11" s="13" t="str">
        <f aca="false">IF(COUNT(G11:L11)=0,"",SUM(G11:L11))</f>
        <v/>
      </c>
      <c r="T11" s="14" t="str">
        <f aca="false">IF(COUNT(M11:R11)=0,"",SUM(M11:R11))</f>
        <v/>
      </c>
      <c r="U11" s="9"/>
      <c r="V11" s="15"/>
      <c r="Y11" s="16" t="str">
        <f aca="false">IF(AND(A11="",B11="",D11="",COUNT(G11:L11)=0),"",IF(D11="","Missing shooter",IF(A11="","Missing date",IF(B11="","Missing event",IF(E11="","Club not in roster (type manually)",IF(COUNT(G11:L11)=0,"No scores entered",IF(U11="","Set status (official/provisional)",IF(COUNTIFS($A$2:$A$101,A11,$B$2:$B$101,B11,$D$2:$D$101,D11)&gt;1,"Duplicate entry","OK to upload"))))))))</f>
        <v/>
      </c>
    </row>
    <row r="12" customFormat="false" ht="15" hidden="false" customHeight="true" outlineLevel="0" collapsed="false">
      <c r="A12" s="8"/>
      <c r="B12" s="9"/>
      <c r="C12" s="9"/>
      <c r="D12" s="9"/>
      <c r="E12" s="10" t="str">
        <f aca="false">IFERROR(IF(D12="","",VLOOKUP(D12,Members!$A$2:$C$16,2,FALSE())),"")</f>
        <v/>
      </c>
      <c r="F12" s="10" t="str">
        <f aca="false">IFERROR(IF(D12="","",VLOOKUP(D12,Members!$A$2:$C$16,3,FALSE())),"")</f>
        <v/>
      </c>
      <c r="G12" s="11"/>
      <c r="H12" s="11"/>
      <c r="I12" s="11"/>
      <c r="J12" s="11"/>
      <c r="K12" s="11"/>
      <c r="L12" s="11"/>
      <c r="M12" s="12"/>
      <c r="N12" s="12"/>
      <c r="O12" s="12"/>
      <c r="P12" s="12"/>
      <c r="Q12" s="12"/>
      <c r="R12" s="12"/>
      <c r="S12" s="13" t="str">
        <f aca="false">IF(COUNT(G12:L12)=0,"",SUM(G12:L12))</f>
        <v/>
      </c>
      <c r="T12" s="14" t="str">
        <f aca="false">IF(COUNT(M12:R12)=0,"",SUM(M12:R12))</f>
        <v/>
      </c>
      <c r="U12" s="9"/>
      <c r="V12" s="15"/>
      <c r="Y12" s="16" t="str">
        <f aca="false">IF(AND(A12="",B12="",D12="",COUNT(G12:L12)=0),"",IF(D12="","Missing shooter",IF(A12="","Missing date",IF(B12="","Missing event",IF(E12="","Club not in roster (type manually)",IF(COUNT(G12:L12)=0,"No scores entered",IF(U12="","Set status (official/provisional)",IF(COUNTIFS($A$2:$A$101,A12,$B$2:$B$101,B12,$D$2:$D$101,D12)&gt;1,"Duplicate entry","OK to upload"))))))))</f>
        <v/>
      </c>
    </row>
    <row r="13" customFormat="false" ht="15" hidden="false" customHeight="true" outlineLevel="0" collapsed="false">
      <c r="A13" s="8"/>
      <c r="B13" s="9"/>
      <c r="C13" s="9"/>
      <c r="D13" s="9"/>
      <c r="E13" s="10" t="str">
        <f aca="false">IFERROR(IF(D13="","",VLOOKUP(D13,Members!$A$2:$C$16,2,FALSE())),"")</f>
        <v/>
      </c>
      <c r="F13" s="10" t="str">
        <f aca="false">IFERROR(IF(D13="","",VLOOKUP(D13,Members!$A$2:$C$16,3,FALSE())),"")</f>
        <v/>
      </c>
      <c r="G13" s="11"/>
      <c r="H13" s="11"/>
      <c r="I13" s="11"/>
      <c r="J13" s="11"/>
      <c r="K13" s="11"/>
      <c r="L13" s="11"/>
      <c r="M13" s="12"/>
      <c r="N13" s="12"/>
      <c r="O13" s="12"/>
      <c r="P13" s="12"/>
      <c r="Q13" s="12"/>
      <c r="R13" s="12"/>
      <c r="S13" s="13" t="str">
        <f aca="false">IF(COUNT(G13:L13)=0,"",SUM(G13:L13))</f>
        <v/>
      </c>
      <c r="T13" s="14" t="str">
        <f aca="false">IF(COUNT(M13:R13)=0,"",SUM(M13:R13))</f>
        <v/>
      </c>
      <c r="U13" s="9"/>
      <c r="V13" s="15"/>
      <c r="Y13" s="16" t="str">
        <f aca="false">IF(AND(A13="",B13="",D13="",COUNT(G13:L13)=0),"",IF(D13="","Missing shooter",IF(A13="","Missing date",IF(B13="","Missing event",IF(E13="","Club not in roster (type manually)",IF(COUNT(G13:L13)=0,"No scores entered",IF(U13="","Set status (official/provisional)",IF(COUNTIFS($A$2:$A$101,A13,$B$2:$B$101,B13,$D$2:$D$101,D13)&gt;1,"Duplicate entry","OK to upload"))))))))</f>
        <v/>
      </c>
    </row>
    <row r="14" customFormat="false" ht="15" hidden="false" customHeight="true" outlineLevel="0" collapsed="false">
      <c r="A14" s="8"/>
      <c r="B14" s="9"/>
      <c r="C14" s="9"/>
      <c r="D14" s="9"/>
      <c r="E14" s="10" t="str">
        <f aca="false">IFERROR(IF(D14="","",VLOOKUP(D14,Members!$A$2:$C$16,2,FALSE())),"")</f>
        <v/>
      </c>
      <c r="F14" s="10" t="str">
        <f aca="false">IFERROR(IF(D14="","",VLOOKUP(D14,Members!$A$2:$C$16,3,FALSE())),"")</f>
        <v/>
      </c>
      <c r="G14" s="11"/>
      <c r="H14" s="11"/>
      <c r="I14" s="11"/>
      <c r="J14" s="11"/>
      <c r="K14" s="11"/>
      <c r="L14" s="11"/>
      <c r="M14" s="12"/>
      <c r="N14" s="12"/>
      <c r="O14" s="12"/>
      <c r="P14" s="12"/>
      <c r="Q14" s="12"/>
      <c r="R14" s="12"/>
      <c r="S14" s="13" t="str">
        <f aca="false">IF(COUNT(G14:L14)=0,"",SUM(G14:L14))</f>
        <v/>
      </c>
      <c r="T14" s="14" t="str">
        <f aca="false">IF(COUNT(M14:R14)=0,"",SUM(M14:R14))</f>
        <v/>
      </c>
      <c r="U14" s="9"/>
      <c r="V14" s="15"/>
      <c r="Y14" s="16" t="str">
        <f aca="false">IF(AND(A14="",B14="",D14="",COUNT(G14:L14)=0),"",IF(D14="","Missing shooter",IF(A14="","Missing date",IF(B14="","Missing event",IF(E14="","Club not in roster (type manually)",IF(COUNT(G14:L14)=0,"No scores entered",IF(U14="","Set status (official/provisional)",IF(COUNTIFS($A$2:$A$101,A14,$B$2:$B$101,B14,$D$2:$D$101,D14)&gt;1,"Duplicate entry","OK to upload"))))))))</f>
        <v/>
      </c>
    </row>
    <row r="15" customFormat="false" ht="15" hidden="false" customHeight="true" outlineLevel="0" collapsed="false">
      <c r="A15" s="8"/>
      <c r="B15" s="9"/>
      <c r="C15" s="9"/>
      <c r="D15" s="9"/>
      <c r="E15" s="10" t="str">
        <f aca="false">IFERROR(IF(D15="","",VLOOKUP(D15,Members!$A$2:$C$16,2,FALSE())),"")</f>
        <v/>
      </c>
      <c r="F15" s="10" t="str">
        <f aca="false">IFERROR(IF(D15="","",VLOOKUP(D15,Members!$A$2:$C$16,3,FALSE())),"")</f>
        <v/>
      </c>
      <c r="G15" s="11"/>
      <c r="H15" s="11"/>
      <c r="I15" s="11"/>
      <c r="J15" s="11"/>
      <c r="K15" s="11"/>
      <c r="L15" s="11"/>
      <c r="M15" s="12"/>
      <c r="N15" s="12"/>
      <c r="O15" s="12"/>
      <c r="P15" s="12"/>
      <c r="Q15" s="12"/>
      <c r="R15" s="12"/>
      <c r="S15" s="13" t="str">
        <f aca="false">IF(COUNT(G15:L15)=0,"",SUM(G15:L15))</f>
        <v/>
      </c>
      <c r="T15" s="14" t="str">
        <f aca="false">IF(COUNT(M15:R15)=0,"",SUM(M15:R15))</f>
        <v/>
      </c>
      <c r="U15" s="9"/>
      <c r="V15" s="15"/>
      <c r="Y15" s="16" t="str">
        <f aca="false">IF(AND(A15="",B15="",D15="",COUNT(G15:L15)=0),"",IF(D15="","Missing shooter",IF(A15="","Missing date",IF(B15="","Missing event",IF(E15="","Club not in roster (type manually)",IF(COUNT(G15:L15)=0,"No scores entered",IF(U15="","Set status (official/provisional)",IF(COUNTIFS($A$2:$A$101,A15,$B$2:$B$101,B15,$D$2:$D$101,D15)&gt;1,"Duplicate entry","OK to upload"))))))))</f>
        <v/>
      </c>
    </row>
    <row r="16" customFormat="false" ht="15" hidden="false" customHeight="true" outlineLevel="0" collapsed="false">
      <c r="A16" s="8"/>
      <c r="B16" s="9"/>
      <c r="C16" s="9"/>
      <c r="D16" s="9"/>
      <c r="E16" s="10" t="str">
        <f aca="false">IFERROR(IF(D16="","",VLOOKUP(D16,Members!$A$2:$C$16,2,FALSE())),"")</f>
        <v/>
      </c>
      <c r="F16" s="10" t="str">
        <f aca="false">IFERROR(IF(D16="","",VLOOKUP(D16,Members!$A$2:$C$16,3,FALSE())),"")</f>
        <v/>
      </c>
      <c r="G16" s="11"/>
      <c r="H16" s="11"/>
      <c r="I16" s="11"/>
      <c r="J16" s="11"/>
      <c r="K16" s="11"/>
      <c r="L16" s="11"/>
      <c r="M16" s="12"/>
      <c r="N16" s="12"/>
      <c r="O16" s="12"/>
      <c r="P16" s="12"/>
      <c r="Q16" s="12"/>
      <c r="R16" s="12"/>
      <c r="S16" s="13" t="str">
        <f aca="false">IF(COUNT(G16:L16)=0,"",SUM(G16:L16))</f>
        <v/>
      </c>
      <c r="T16" s="14" t="str">
        <f aca="false">IF(COUNT(M16:R16)=0,"",SUM(M16:R16))</f>
        <v/>
      </c>
      <c r="U16" s="9"/>
      <c r="V16" s="15"/>
      <c r="Y16" s="16" t="str">
        <f aca="false">IF(AND(A16="",B16="",D16="",COUNT(G16:L16)=0),"",IF(D16="","Missing shooter",IF(A16="","Missing date",IF(B16="","Missing event",IF(E16="","Club not in roster (type manually)",IF(COUNT(G16:L16)=0,"No scores entered",IF(U16="","Set status (official/provisional)",IF(COUNTIFS($A$2:$A$101,A16,$B$2:$B$101,B16,$D$2:$D$101,D16)&gt;1,"Duplicate entry","OK to upload"))))))))</f>
        <v/>
      </c>
    </row>
    <row r="17" customFormat="false" ht="15" hidden="false" customHeight="true" outlineLevel="0" collapsed="false">
      <c r="A17" s="8"/>
      <c r="B17" s="9"/>
      <c r="C17" s="9"/>
      <c r="D17" s="9"/>
      <c r="E17" s="10" t="str">
        <f aca="false">IFERROR(IF(D17="","",VLOOKUP(D17,Members!$A$2:$C$16,2,FALSE())),"")</f>
        <v/>
      </c>
      <c r="F17" s="10" t="str">
        <f aca="false">IFERROR(IF(D17="","",VLOOKUP(D17,Members!$A$2:$C$16,3,FALSE())),"")</f>
        <v/>
      </c>
      <c r="G17" s="11"/>
      <c r="H17" s="11"/>
      <c r="I17" s="11"/>
      <c r="J17" s="11"/>
      <c r="K17" s="11"/>
      <c r="L17" s="11"/>
      <c r="M17" s="12"/>
      <c r="N17" s="12"/>
      <c r="O17" s="12"/>
      <c r="P17" s="12"/>
      <c r="Q17" s="12"/>
      <c r="R17" s="12"/>
      <c r="S17" s="13" t="str">
        <f aca="false">IF(COUNT(G17:L17)=0,"",SUM(G17:L17))</f>
        <v/>
      </c>
      <c r="T17" s="14" t="str">
        <f aca="false">IF(COUNT(M17:R17)=0,"",SUM(M17:R17))</f>
        <v/>
      </c>
      <c r="U17" s="9"/>
      <c r="V17" s="15"/>
      <c r="Y17" s="16" t="str">
        <f aca="false">IF(AND(A17="",B17="",D17="",COUNT(G17:L17)=0),"",IF(D17="","Missing shooter",IF(A17="","Missing date",IF(B17="","Missing event",IF(E17="","Club not in roster (type manually)",IF(COUNT(G17:L17)=0,"No scores entered",IF(U17="","Set status (official/provisional)",IF(COUNTIFS($A$2:$A$101,A17,$B$2:$B$101,B17,$D$2:$D$101,D17)&gt;1,"Duplicate entry","OK to upload"))))))))</f>
        <v/>
      </c>
    </row>
    <row r="18" customFormat="false" ht="15" hidden="false" customHeight="true" outlineLevel="0" collapsed="false">
      <c r="A18" s="8"/>
      <c r="B18" s="9"/>
      <c r="C18" s="9"/>
      <c r="D18" s="9"/>
      <c r="E18" s="10" t="str">
        <f aca="false">IFERROR(IF(D18="","",VLOOKUP(D18,Members!$A$2:$C$16,2,FALSE())),"")</f>
        <v/>
      </c>
      <c r="F18" s="10" t="str">
        <f aca="false">IFERROR(IF(D18="","",VLOOKUP(D18,Members!$A$2:$C$16,3,FALSE())),"")</f>
        <v/>
      </c>
      <c r="G18" s="11"/>
      <c r="H18" s="11"/>
      <c r="I18" s="11"/>
      <c r="J18" s="11"/>
      <c r="K18" s="11"/>
      <c r="L18" s="11"/>
      <c r="M18" s="12"/>
      <c r="N18" s="12"/>
      <c r="O18" s="12"/>
      <c r="P18" s="12"/>
      <c r="Q18" s="12"/>
      <c r="R18" s="12"/>
      <c r="S18" s="13" t="str">
        <f aca="false">IF(COUNT(G18:L18)=0,"",SUM(G18:L18))</f>
        <v/>
      </c>
      <c r="T18" s="14" t="str">
        <f aca="false">IF(COUNT(M18:R18)=0,"",SUM(M18:R18))</f>
        <v/>
      </c>
      <c r="U18" s="9"/>
      <c r="V18" s="15"/>
      <c r="Y18" s="16" t="str">
        <f aca="false">IF(AND(A18="",B18="",D18="",COUNT(G18:L18)=0),"",IF(D18="","Missing shooter",IF(A18="","Missing date",IF(B18="","Missing event",IF(E18="","Club not in roster (type manually)",IF(COUNT(G18:L18)=0,"No scores entered",IF(U18="","Set status (official/provisional)",IF(COUNTIFS($A$2:$A$101,A18,$B$2:$B$101,B18,$D$2:$D$101,D18)&gt;1,"Duplicate entry","OK to upload"))))))))</f>
        <v/>
      </c>
    </row>
    <row r="19" customFormat="false" ht="15" hidden="false" customHeight="true" outlineLevel="0" collapsed="false">
      <c r="A19" s="8"/>
      <c r="B19" s="9"/>
      <c r="C19" s="9"/>
      <c r="D19" s="9"/>
      <c r="E19" s="10" t="str">
        <f aca="false">IFERROR(IF(D19="","",VLOOKUP(D19,Members!$A$2:$C$16,2,FALSE())),"")</f>
        <v/>
      </c>
      <c r="F19" s="10" t="str">
        <f aca="false">IFERROR(IF(D19="","",VLOOKUP(D19,Members!$A$2:$C$16,3,FALSE())),"")</f>
        <v/>
      </c>
      <c r="G19" s="11"/>
      <c r="H19" s="11"/>
      <c r="I19" s="11"/>
      <c r="J19" s="11"/>
      <c r="K19" s="11"/>
      <c r="L19" s="11"/>
      <c r="M19" s="12"/>
      <c r="N19" s="12"/>
      <c r="O19" s="12"/>
      <c r="P19" s="12"/>
      <c r="Q19" s="12"/>
      <c r="R19" s="12"/>
      <c r="S19" s="13" t="str">
        <f aca="false">IF(COUNT(G19:L19)=0,"",SUM(G19:L19))</f>
        <v/>
      </c>
      <c r="T19" s="14" t="str">
        <f aca="false">IF(COUNT(M19:R19)=0,"",SUM(M19:R19))</f>
        <v/>
      </c>
      <c r="U19" s="9"/>
      <c r="V19" s="15"/>
      <c r="Y19" s="16" t="str">
        <f aca="false">IF(AND(A19="",B19="",D19="",COUNT(G19:L19)=0),"",IF(D19="","Missing shooter",IF(A19="","Missing date",IF(B19="","Missing event",IF(E19="","Club not in roster (type manually)",IF(COUNT(G19:L19)=0,"No scores entered",IF(U19="","Set status (official/provisional)",IF(COUNTIFS($A$2:$A$101,A19,$B$2:$B$101,B19,$D$2:$D$101,D19)&gt;1,"Duplicate entry","OK to upload"))))))))</f>
        <v/>
      </c>
    </row>
    <row r="20" customFormat="false" ht="15" hidden="false" customHeight="true" outlineLevel="0" collapsed="false">
      <c r="A20" s="8"/>
      <c r="B20" s="9"/>
      <c r="C20" s="9"/>
      <c r="D20" s="9"/>
      <c r="E20" s="10" t="str">
        <f aca="false">IFERROR(IF(D20="","",VLOOKUP(D20,Members!$A$2:$C$16,2,FALSE())),"")</f>
        <v/>
      </c>
      <c r="F20" s="10" t="str">
        <f aca="false">IFERROR(IF(D20="","",VLOOKUP(D20,Members!$A$2:$C$16,3,FALSE())),"")</f>
        <v/>
      </c>
      <c r="G20" s="11"/>
      <c r="H20" s="11"/>
      <c r="I20" s="11"/>
      <c r="J20" s="11"/>
      <c r="K20" s="11"/>
      <c r="L20" s="11"/>
      <c r="M20" s="12"/>
      <c r="N20" s="12"/>
      <c r="O20" s="12"/>
      <c r="P20" s="12"/>
      <c r="Q20" s="12"/>
      <c r="R20" s="12"/>
      <c r="S20" s="13" t="str">
        <f aca="false">IF(COUNT(G20:L20)=0,"",SUM(G20:L20))</f>
        <v/>
      </c>
      <c r="T20" s="14" t="str">
        <f aca="false">IF(COUNT(M20:R20)=0,"",SUM(M20:R20))</f>
        <v/>
      </c>
      <c r="U20" s="9"/>
      <c r="V20" s="15"/>
      <c r="Y20" s="16" t="str">
        <f aca="false">IF(AND(A20="",B20="",D20="",COUNT(G20:L20)=0),"",IF(D20="","Missing shooter",IF(A20="","Missing date",IF(B20="","Missing event",IF(E20="","Club not in roster (type manually)",IF(COUNT(G20:L20)=0,"No scores entered",IF(U20="","Set status (official/provisional)",IF(COUNTIFS($A$2:$A$101,A20,$B$2:$B$101,B20,$D$2:$D$101,D20)&gt;1,"Duplicate entry","OK to upload"))))))))</f>
        <v/>
      </c>
    </row>
    <row r="21" customFormat="false" ht="15" hidden="false" customHeight="true" outlineLevel="0" collapsed="false">
      <c r="A21" s="8"/>
      <c r="B21" s="9"/>
      <c r="C21" s="9"/>
      <c r="D21" s="9"/>
      <c r="E21" s="10" t="str">
        <f aca="false">IFERROR(IF(D21="","",VLOOKUP(D21,Members!$A$2:$C$16,2,FALSE())),"")</f>
        <v/>
      </c>
      <c r="F21" s="10" t="str">
        <f aca="false">IFERROR(IF(D21="","",VLOOKUP(D21,Members!$A$2:$C$16,3,FALSE())),"")</f>
        <v/>
      </c>
      <c r="G21" s="11"/>
      <c r="H21" s="11"/>
      <c r="I21" s="11"/>
      <c r="J21" s="11"/>
      <c r="K21" s="11"/>
      <c r="L21" s="11"/>
      <c r="M21" s="12"/>
      <c r="N21" s="12"/>
      <c r="O21" s="12"/>
      <c r="P21" s="12"/>
      <c r="Q21" s="12"/>
      <c r="R21" s="12"/>
      <c r="S21" s="13" t="str">
        <f aca="false">IF(COUNT(G21:L21)=0,"",SUM(G21:L21))</f>
        <v/>
      </c>
      <c r="T21" s="14" t="str">
        <f aca="false">IF(COUNT(M21:R21)=0,"",SUM(M21:R21))</f>
        <v/>
      </c>
      <c r="U21" s="9"/>
      <c r="V21" s="15"/>
      <c r="Y21" s="16" t="str">
        <f aca="false">IF(AND(A21="",B21="",D21="",COUNT(G21:L21)=0),"",IF(D21="","Missing shooter",IF(A21="","Missing date",IF(B21="","Missing event",IF(E21="","Club not in roster (type manually)",IF(COUNT(G21:L21)=0,"No scores entered",IF(U21="","Set status (official/provisional)",IF(COUNTIFS($A$2:$A$101,A21,$B$2:$B$101,B21,$D$2:$D$101,D21)&gt;1,"Duplicate entry","OK to upload"))))))))</f>
        <v/>
      </c>
    </row>
    <row r="22" customFormat="false" ht="15" hidden="false" customHeight="true" outlineLevel="0" collapsed="false">
      <c r="A22" s="8"/>
      <c r="B22" s="9"/>
      <c r="C22" s="9"/>
      <c r="D22" s="9"/>
      <c r="E22" s="10" t="str">
        <f aca="false">IFERROR(IF(D22="","",VLOOKUP(D22,Members!$A$2:$C$16,2,FALSE())),"")</f>
        <v/>
      </c>
      <c r="F22" s="10" t="str">
        <f aca="false">IFERROR(IF(D22="","",VLOOKUP(D22,Members!$A$2:$C$16,3,FALSE())),"")</f>
        <v/>
      </c>
      <c r="G22" s="11"/>
      <c r="H22" s="11"/>
      <c r="I22" s="11"/>
      <c r="J22" s="11"/>
      <c r="K22" s="11"/>
      <c r="L22" s="11"/>
      <c r="M22" s="12"/>
      <c r="N22" s="12"/>
      <c r="O22" s="12"/>
      <c r="P22" s="12"/>
      <c r="Q22" s="12"/>
      <c r="R22" s="12"/>
      <c r="S22" s="13" t="str">
        <f aca="false">IF(COUNT(G22:L22)=0,"",SUM(G22:L22))</f>
        <v/>
      </c>
      <c r="T22" s="14" t="str">
        <f aca="false">IF(COUNT(M22:R22)=0,"",SUM(M22:R22))</f>
        <v/>
      </c>
      <c r="U22" s="9"/>
      <c r="V22" s="15"/>
      <c r="Y22" s="16" t="str">
        <f aca="false">IF(AND(A22="",B22="",D22="",COUNT(G22:L22)=0),"",IF(D22="","Missing shooter",IF(A22="","Missing date",IF(B22="","Missing event",IF(E22="","Club not in roster (type manually)",IF(COUNT(G22:L22)=0,"No scores entered",IF(U22="","Set status (official/provisional)",IF(COUNTIFS($A$2:$A$101,A22,$B$2:$B$101,B22,$D$2:$D$101,D22)&gt;1,"Duplicate entry","OK to upload"))))))))</f>
        <v/>
      </c>
    </row>
    <row r="23" customFormat="false" ht="15" hidden="false" customHeight="true" outlineLevel="0" collapsed="false">
      <c r="A23" s="8"/>
      <c r="B23" s="9"/>
      <c r="C23" s="9"/>
      <c r="D23" s="9"/>
      <c r="E23" s="10" t="str">
        <f aca="false">IFERROR(IF(D23="","",VLOOKUP(D23,Members!$A$2:$C$16,2,FALSE())),"")</f>
        <v/>
      </c>
      <c r="F23" s="10" t="str">
        <f aca="false">IFERROR(IF(D23="","",VLOOKUP(D23,Members!$A$2:$C$16,3,FALSE())),"")</f>
        <v/>
      </c>
      <c r="G23" s="11"/>
      <c r="H23" s="11"/>
      <c r="I23" s="11"/>
      <c r="J23" s="11"/>
      <c r="K23" s="11"/>
      <c r="L23" s="11"/>
      <c r="M23" s="12"/>
      <c r="N23" s="12"/>
      <c r="O23" s="12"/>
      <c r="P23" s="12"/>
      <c r="Q23" s="12"/>
      <c r="R23" s="12"/>
      <c r="S23" s="13" t="str">
        <f aca="false">IF(COUNT(G23:L23)=0,"",SUM(G23:L23))</f>
        <v/>
      </c>
      <c r="T23" s="14" t="str">
        <f aca="false">IF(COUNT(M23:R23)=0,"",SUM(M23:R23))</f>
        <v/>
      </c>
      <c r="U23" s="9"/>
      <c r="V23" s="15"/>
      <c r="Y23" s="16" t="str">
        <f aca="false">IF(AND(A23="",B23="",D23="",COUNT(G23:L23)=0),"",IF(D23="","Missing shooter",IF(A23="","Missing date",IF(B23="","Missing event",IF(E23="","Club not in roster (type manually)",IF(COUNT(G23:L23)=0,"No scores entered",IF(U23="","Set status (official/provisional)",IF(COUNTIFS($A$2:$A$101,A23,$B$2:$B$101,B23,$D$2:$D$101,D23)&gt;1,"Duplicate entry","OK to upload"))))))))</f>
        <v/>
      </c>
    </row>
    <row r="24" customFormat="false" ht="15" hidden="false" customHeight="true" outlineLevel="0" collapsed="false">
      <c r="A24" s="8"/>
      <c r="B24" s="9"/>
      <c r="C24" s="9"/>
      <c r="D24" s="9"/>
      <c r="E24" s="10" t="str">
        <f aca="false">IFERROR(IF(D24="","",VLOOKUP(D24,Members!$A$2:$C$16,2,FALSE())),"")</f>
        <v/>
      </c>
      <c r="F24" s="10" t="str">
        <f aca="false">IFERROR(IF(D24="","",VLOOKUP(D24,Members!$A$2:$C$16,3,FALSE())),"")</f>
        <v/>
      </c>
      <c r="G24" s="11"/>
      <c r="H24" s="11"/>
      <c r="I24" s="11"/>
      <c r="J24" s="11"/>
      <c r="K24" s="11"/>
      <c r="L24" s="11"/>
      <c r="M24" s="12"/>
      <c r="N24" s="12"/>
      <c r="O24" s="12"/>
      <c r="P24" s="12"/>
      <c r="Q24" s="12"/>
      <c r="R24" s="12"/>
      <c r="S24" s="13" t="str">
        <f aca="false">IF(COUNT(G24:L24)=0,"",SUM(G24:L24))</f>
        <v/>
      </c>
      <c r="T24" s="14" t="str">
        <f aca="false">IF(COUNT(M24:R24)=0,"",SUM(M24:R24))</f>
        <v/>
      </c>
      <c r="U24" s="9"/>
      <c r="V24" s="15"/>
      <c r="Y24" s="16" t="str">
        <f aca="false">IF(AND(A24="",B24="",D24="",COUNT(G24:L24)=0),"",IF(D24="","Missing shooter",IF(A24="","Missing date",IF(B24="","Missing event",IF(E24="","Club not in roster (type manually)",IF(COUNT(G24:L24)=0,"No scores entered",IF(U24="","Set status (official/provisional)",IF(COUNTIFS($A$2:$A$101,A24,$B$2:$B$101,B24,$D$2:$D$101,D24)&gt;1,"Duplicate entry","OK to upload"))))))))</f>
        <v/>
      </c>
    </row>
    <row r="25" customFormat="false" ht="15" hidden="false" customHeight="true" outlineLevel="0" collapsed="false">
      <c r="A25" s="8"/>
      <c r="B25" s="9"/>
      <c r="C25" s="9"/>
      <c r="D25" s="9"/>
      <c r="E25" s="10" t="str">
        <f aca="false">IFERROR(IF(D25="","",VLOOKUP(D25,Members!$A$2:$C$16,2,FALSE())),"")</f>
        <v/>
      </c>
      <c r="F25" s="10" t="str">
        <f aca="false">IFERROR(IF(D25="","",VLOOKUP(D25,Members!$A$2:$C$16,3,FALSE())),"")</f>
        <v/>
      </c>
      <c r="G25" s="11"/>
      <c r="H25" s="11"/>
      <c r="I25" s="11"/>
      <c r="J25" s="11"/>
      <c r="K25" s="11"/>
      <c r="L25" s="11"/>
      <c r="M25" s="12"/>
      <c r="N25" s="12"/>
      <c r="O25" s="12"/>
      <c r="P25" s="12"/>
      <c r="Q25" s="12"/>
      <c r="R25" s="12"/>
      <c r="S25" s="13" t="str">
        <f aca="false">IF(COUNT(G25:L25)=0,"",SUM(G25:L25))</f>
        <v/>
      </c>
      <c r="T25" s="14" t="str">
        <f aca="false">IF(COUNT(M25:R25)=0,"",SUM(M25:R25))</f>
        <v/>
      </c>
      <c r="U25" s="9"/>
      <c r="V25" s="15"/>
      <c r="Y25" s="16" t="str">
        <f aca="false">IF(AND(A25="",B25="",D25="",COUNT(G25:L25)=0),"",IF(D25="","Missing shooter",IF(A25="","Missing date",IF(B25="","Missing event",IF(E25="","Club not in roster (type manually)",IF(COUNT(G25:L25)=0,"No scores entered",IF(U25="","Set status (official/provisional)",IF(COUNTIFS($A$2:$A$101,A25,$B$2:$B$101,B25,$D$2:$D$101,D25)&gt;1,"Duplicate entry","OK to upload"))))))))</f>
        <v/>
      </c>
    </row>
    <row r="26" customFormat="false" ht="15" hidden="false" customHeight="true" outlineLevel="0" collapsed="false">
      <c r="A26" s="8"/>
      <c r="B26" s="9"/>
      <c r="C26" s="9"/>
      <c r="D26" s="9"/>
      <c r="E26" s="10" t="str">
        <f aca="false">IFERROR(IF(D26="","",VLOOKUP(D26,Members!$A$2:$C$16,2,FALSE())),"")</f>
        <v/>
      </c>
      <c r="F26" s="10" t="str">
        <f aca="false">IFERROR(IF(D26="","",VLOOKUP(D26,Members!$A$2:$C$16,3,FALSE())),"")</f>
        <v/>
      </c>
      <c r="G26" s="11"/>
      <c r="H26" s="11"/>
      <c r="I26" s="11"/>
      <c r="J26" s="11"/>
      <c r="K26" s="11"/>
      <c r="L26" s="11"/>
      <c r="M26" s="12"/>
      <c r="N26" s="12"/>
      <c r="O26" s="12"/>
      <c r="P26" s="12"/>
      <c r="Q26" s="12"/>
      <c r="R26" s="12"/>
      <c r="S26" s="13" t="str">
        <f aca="false">IF(COUNT(G26:L26)=0,"",SUM(G26:L26))</f>
        <v/>
      </c>
      <c r="T26" s="14" t="str">
        <f aca="false">IF(COUNT(M26:R26)=0,"",SUM(M26:R26))</f>
        <v/>
      </c>
      <c r="U26" s="9"/>
      <c r="V26" s="15"/>
      <c r="Y26" s="16" t="str">
        <f aca="false">IF(AND(A26="",B26="",D26="",COUNT(G26:L26)=0),"",IF(D26="","Missing shooter",IF(A26="","Missing date",IF(B26="","Missing event",IF(E26="","Club not in roster (type manually)",IF(COUNT(G26:L26)=0,"No scores entered",IF(U26="","Set status (official/provisional)",IF(COUNTIFS($A$2:$A$101,A26,$B$2:$B$101,B26,$D$2:$D$101,D26)&gt;1,"Duplicate entry","OK to upload"))))))))</f>
        <v/>
      </c>
    </row>
    <row r="27" customFormat="false" ht="15" hidden="false" customHeight="true" outlineLevel="0" collapsed="false">
      <c r="A27" s="8"/>
      <c r="B27" s="9"/>
      <c r="C27" s="9"/>
      <c r="D27" s="9"/>
      <c r="E27" s="10" t="str">
        <f aca="false">IFERROR(IF(D27="","",VLOOKUP(D27,Members!$A$2:$C$16,2,FALSE())),"")</f>
        <v/>
      </c>
      <c r="F27" s="10" t="str">
        <f aca="false">IFERROR(IF(D27="","",VLOOKUP(D27,Members!$A$2:$C$16,3,FALSE())),"")</f>
        <v/>
      </c>
      <c r="G27" s="11"/>
      <c r="H27" s="11"/>
      <c r="I27" s="11"/>
      <c r="J27" s="11"/>
      <c r="K27" s="11"/>
      <c r="L27" s="11"/>
      <c r="M27" s="12"/>
      <c r="N27" s="12"/>
      <c r="O27" s="12"/>
      <c r="P27" s="12"/>
      <c r="Q27" s="12"/>
      <c r="R27" s="12"/>
      <c r="S27" s="13" t="str">
        <f aca="false">IF(COUNT(G27:L27)=0,"",SUM(G27:L27))</f>
        <v/>
      </c>
      <c r="T27" s="14" t="str">
        <f aca="false">IF(COUNT(M27:R27)=0,"",SUM(M27:R27))</f>
        <v/>
      </c>
      <c r="U27" s="9"/>
      <c r="V27" s="15"/>
      <c r="Y27" s="16" t="str">
        <f aca="false">IF(AND(A27="",B27="",D27="",COUNT(G27:L27)=0),"",IF(D27="","Missing shooter",IF(A27="","Missing date",IF(B27="","Missing event",IF(E27="","Club not in roster (type manually)",IF(COUNT(G27:L27)=0,"No scores entered",IF(U27="","Set status (official/provisional)",IF(COUNTIFS($A$2:$A$101,A27,$B$2:$B$101,B27,$D$2:$D$101,D27)&gt;1,"Duplicate entry","OK to upload"))))))))</f>
        <v/>
      </c>
    </row>
    <row r="28" customFormat="false" ht="15" hidden="false" customHeight="true" outlineLevel="0" collapsed="false">
      <c r="A28" s="8"/>
      <c r="B28" s="9"/>
      <c r="C28" s="9"/>
      <c r="D28" s="9"/>
      <c r="E28" s="10" t="str">
        <f aca="false">IFERROR(IF(D28="","",VLOOKUP(D28,Members!$A$2:$C$16,2,FALSE())),"")</f>
        <v/>
      </c>
      <c r="F28" s="10" t="str">
        <f aca="false">IFERROR(IF(D28="","",VLOOKUP(D28,Members!$A$2:$C$16,3,FALSE())),"")</f>
        <v/>
      </c>
      <c r="G28" s="11"/>
      <c r="H28" s="11"/>
      <c r="I28" s="11"/>
      <c r="J28" s="11"/>
      <c r="K28" s="11"/>
      <c r="L28" s="11"/>
      <c r="M28" s="12"/>
      <c r="N28" s="12"/>
      <c r="O28" s="12"/>
      <c r="P28" s="12"/>
      <c r="Q28" s="12"/>
      <c r="R28" s="12"/>
      <c r="S28" s="13" t="str">
        <f aca="false">IF(COUNT(G28:L28)=0,"",SUM(G28:L28))</f>
        <v/>
      </c>
      <c r="T28" s="14" t="str">
        <f aca="false">IF(COUNT(M28:R28)=0,"",SUM(M28:R28))</f>
        <v/>
      </c>
      <c r="U28" s="9"/>
      <c r="V28" s="15"/>
      <c r="Y28" s="16" t="str">
        <f aca="false">IF(AND(A28="",B28="",D28="",COUNT(G28:L28)=0),"",IF(D28="","Missing shooter",IF(A28="","Missing date",IF(B28="","Missing event",IF(E28="","Club not in roster (type manually)",IF(COUNT(G28:L28)=0,"No scores entered",IF(U28="","Set status (official/provisional)",IF(COUNTIFS($A$2:$A$101,A28,$B$2:$B$101,B28,$D$2:$D$101,D28)&gt;1,"Duplicate entry","OK to upload"))))))))</f>
        <v/>
      </c>
    </row>
    <row r="29" customFormat="false" ht="15" hidden="false" customHeight="true" outlineLevel="0" collapsed="false">
      <c r="A29" s="8"/>
      <c r="B29" s="9"/>
      <c r="C29" s="9"/>
      <c r="D29" s="9"/>
      <c r="E29" s="10" t="str">
        <f aca="false">IFERROR(IF(D29="","",VLOOKUP(D29,Members!$A$2:$C$16,2,FALSE())),"")</f>
        <v/>
      </c>
      <c r="F29" s="10" t="str">
        <f aca="false">IFERROR(IF(D29="","",VLOOKUP(D29,Members!$A$2:$C$16,3,FALSE())),"")</f>
        <v/>
      </c>
      <c r="G29" s="11"/>
      <c r="H29" s="11"/>
      <c r="I29" s="11"/>
      <c r="J29" s="11"/>
      <c r="K29" s="11"/>
      <c r="L29" s="11"/>
      <c r="M29" s="12"/>
      <c r="N29" s="12"/>
      <c r="O29" s="12"/>
      <c r="P29" s="12"/>
      <c r="Q29" s="12"/>
      <c r="R29" s="12"/>
      <c r="S29" s="13" t="str">
        <f aca="false">IF(COUNT(G29:L29)=0,"",SUM(G29:L29))</f>
        <v/>
      </c>
      <c r="T29" s="14" t="str">
        <f aca="false">IF(COUNT(M29:R29)=0,"",SUM(M29:R29))</f>
        <v/>
      </c>
      <c r="U29" s="9"/>
      <c r="V29" s="15"/>
      <c r="Y29" s="16" t="str">
        <f aca="false">IF(AND(A29="",B29="",D29="",COUNT(G29:L29)=0),"",IF(D29="","Missing shooter",IF(A29="","Missing date",IF(B29="","Missing event",IF(E29="","Club not in roster (type manually)",IF(COUNT(G29:L29)=0,"No scores entered",IF(U29="","Set status (official/provisional)",IF(COUNTIFS($A$2:$A$101,A29,$B$2:$B$101,B29,$D$2:$D$101,D29)&gt;1,"Duplicate entry","OK to upload"))))))))</f>
        <v/>
      </c>
    </row>
    <row r="30" customFormat="false" ht="15" hidden="false" customHeight="true" outlineLevel="0" collapsed="false">
      <c r="A30" s="8"/>
      <c r="B30" s="9"/>
      <c r="C30" s="9"/>
      <c r="D30" s="9"/>
      <c r="E30" s="10" t="str">
        <f aca="false">IFERROR(IF(D30="","",VLOOKUP(D30,Members!$A$2:$C$16,2,FALSE())),"")</f>
        <v/>
      </c>
      <c r="F30" s="10" t="str">
        <f aca="false">IFERROR(IF(D30="","",VLOOKUP(D30,Members!$A$2:$C$16,3,FALSE())),"")</f>
        <v/>
      </c>
      <c r="G30" s="11"/>
      <c r="H30" s="11"/>
      <c r="I30" s="11"/>
      <c r="J30" s="11"/>
      <c r="K30" s="11"/>
      <c r="L30" s="11"/>
      <c r="M30" s="12"/>
      <c r="N30" s="12"/>
      <c r="O30" s="12"/>
      <c r="P30" s="12"/>
      <c r="Q30" s="12"/>
      <c r="R30" s="12"/>
      <c r="S30" s="13" t="str">
        <f aca="false">IF(COUNT(G30:L30)=0,"",SUM(G30:L30))</f>
        <v/>
      </c>
      <c r="T30" s="14" t="str">
        <f aca="false">IF(COUNT(M30:R30)=0,"",SUM(M30:R30))</f>
        <v/>
      </c>
      <c r="U30" s="9"/>
      <c r="V30" s="15"/>
      <c r="Y30" s="16" t="str">
        <f aca="false">IF(AND(A30="",B30="",D30="",COUNT(G30:L30)=0),"",IF(D30="","Missing shooter",IF(A30="","Missing date",IF(B30="","Missing event",IF(E30="","Club not in roster (type manually)",IF(COUNT(G30:L30)=0,"No scores entered",IF(U30="","Set status (official/provisional)",IF(COUNTIFS($A$2:$A$101,A30,$B$2:$B$101,B30,$D$2:$D$101,D30)&gt;1,"Duplicate entry","OK to upload"))))))))</f>
        <v/>
      </c>
    </row>
    <row r="31" customFormat="false" ht="15" hidden="false" customHeight="true" outlineLevel="0" collapsed="false">
      <c r="A31" s="8"/>
      <c r="B31" s="9"/>
      <c r="C31" s="9"/>
      <c r="D31" s="9"/>
      <c r="E31" s="10" t="str">
        <f aca="false">IFERROR(IF(D31="","",VLOOKUP(D31,Members!$A$2:$C$16,2,FALSE())),"")</f>
        <v/>
      </c>
      <c r="F31" s="10" t="str">
        <f aca="false">IFERROR(IF(D31="","",VLOOKUP(D31,Members!$A$2:$C$16,3,FALSE())),"")</f>
        <v/>
      </c>
      <c r="G31" s="11"/>
      <c r="H31" s="11"/>
      <c r="I31" s="11"/>
      <c r="J31" s="11"/>
      <c r="K31" s="11"/>
      <c r="L31" s="11"/>
      <c r="M31" s="12"/>
      <c r="N31" s="12"/>
      <c r="O31" s="12"/>
      <c r="P31" s="12"/>
      <c r="Q31" s="12"/>
      <c r="R31" s="12"/>
      <c r="S31" s="13" t="str">
        <f aca="false">IF(COUNT(G31:L31)=0,"",SUM(G31:L31))</f>
        <v/>
      </c>
      <c r="T31" s="14" t="str">
        <f aca="false">IF(COUNT(M31:R31)=0,"",SUM(M31:R31))</f>
        <v/>
      </c>
      <c r="U31" s="9"/>
      <c r="V31" s="15"/>
      <c r="Y31" s="16" t="str">
        <f aca="false">IF(AND(A31="",B31="",D31="",COUNT(G31:L31)=0),"",IF(D31="","Missing shooter",IF(A31="","Missing date",IF(B31="","Missing event",IF(E31="","Club not in roster (type manually)",IF(COUNT(G31:L31)=0,"No scores entered",IF(U31="","Set status (official/provisional)",IF(COUNTIFS($A$2:$A$101,A31,$B$2:$B$101,B31,$D$2:$D$101,D31)&gt;1,"Duplicate entry","OK to upload"))))))))</f>
        <v/>
      </c>
    </row>
    <row r="32" customFormat="false" ht="15" hidden="false" customHeight="true" outlineLevel="0" collapsed="false">
      <c r="A32" s="8"/>
      <c r="B32" s="9"/>
      <c r="C32" s="9"/>
      <c r="D32" s="9"/>
      <c r="E32" s="10" t="str">
        <f aca="false">IFERROR(IF(D32="","",VLOOKUP(D32,Members!$A$2:$C$16,2,FALSE())),"")</f>
        <v/>
      </c>
      <c r="F32" s="10" t="str">
        <f aca="false">IFERROR(IF(D32="","",VLOOKUP(D32,Members!$A$2:$C$16,3,FALSE())),"")</f>
        <v/>
      </c>
      <c r="G32" s="11"/>
      <c r="H32" s="11"/>
      <c r="I32" s="11"/>
      <c r="J32" s="11"/>
      <c r="K32" s="11"/>
      <c r="L32" s="11"/>
      <c r="M32" s="12"/>
      <c r="N32" s="12"/>
      <c r="O32" s="12"/>
      <c r="P32" s="12"/>
      <c r="Q32" s="12"/>
      <c r="R32" s="12"/>
      <c r="S32" s="13" t="str">
        <f aca="false">IF(COUNT(G32:L32)=0,"",SUM(G32:L32))</f>
        <v/>
      </c>
      <c r="T32" s="14" t="str">
        <f aca="false">IF(COUNT(M32:R32)=0,"",SUM(M32:R32))</f>
        <v/>
      </c>
      <c r="U32" s="9"/>
      <c r="V32" s="15"/>
      <c r="Y32" s="16" t="str">
        <f aca="false">IF(AND(A32="",B32="",D32="",COUNT(G32:L32)=0),"",IF(D32="","Missing shooter",IF(A32="","Missing date",IF(B32="","Missing event",IF(E32="","Club not in roster (type manually)",IF(COUNT(G32:L32)=0,"No scores entered",IF(U32="","Set status (official/provisional)",IF(COUNTIFS($A$2:$A$101,A32,$B$2:$B$101,B32,$D$2:$D$101,D32)&gt;1,"Duplicate entry","OK to upload"))))))))</f>
        <v/>
      </c>
    </row>
    <row r="33" customFormat="false" ht="15" hidden="false" customHeight="true" outlineLevel="0" collapsed="false">
      <c r="A33" s="8"/>
      <c r="B33" s="9"/>
      <c r="C33" s="9"/>
      <c r="D33" s="9"/>
      <c r="E33" s="10" t="str">
        <f aca="false">IFERROR(IF(D33="","",VLOOKUP(D33,Members!$A$2:$C$16,2,FALSE())),"")</f>
        <v/>
      </c>
      <c r="F33" s="10" t="str">
        <f aca="false">IFERROR(IF(D33="","",VLOOKUP(D33,Members!$A$2:$C$16,3,FALSE())),"")</f>
        <v/>
      </c>
      <c r="G33" s="11"/>
      <c r="H33" s="11"/>
      <c r="I33" s="11"/>
      <c r="J33" s="11"/>
      <c r="K33" s="11"/>
      <c r="L33" s="11"/>
      <c r="M33" s="12"/>
      <c r="N33" s="12"/>
      <c r="O33" s="12"/>
      <c r="P33" s="12"/>
      <c r="Q33" s="12"/>
      <c r="R33" s="12"/>
      <c r="S33" s="13" t="str">
        <f aca="false">IF(COUNT(G33:L33)=0,"",SUM(G33:L33))</f>
        <v/>
      </c>
      <c r="T33" s="14" t="str">
        <f aca="false">IF(COUNT(M33:R33)=0,"",SUM(M33:R33))</f>
        <v/>
      </c>
      <c r="U33" s="9"/>
      <c r="V33" s="15"/>
      <c r="Y33" s="16" t="str">
        <f aca="false">IF(AND(A33="",B33="",D33="",COUNT(G33:L33)=0),"",IF(D33="","Missing shooter",IF(A33="","Missing date",IF(B33="","Missing event",IF(E33="","Club not in roster (type manually)",IF(COUNT(G33:L33)=0,"No scores entered",IF(U33="","Set status (official/provisional)",IF(COUNTIFS($A$2:$A$101,A33,$B$2:$B$101,B33,$D$2:$D$101,D33)&gt;1,"Duplicate entry","OK to upload"))))))))</f>
        <v/>
      </c>
    </row>
    <row r="34" customFormat="false" ht="15" hidden="false" customHeight="true" outlineLevel="0" collapsed="false">
      <c r="A34" s="8"/>
      <c r="B34" s="9"/>
      <c r="C34" s="9"/>
      <c r="D34" s="9"/>
      <c r="E34" s="10" t="str">
        <f aca="false">IFERROR(IF(D34="","",VLOOKUP(D34,Members!$A$2:$C$16,2,FALSE())),"")</f>
        <v/>
      </c>
      <c r="F34" s="10" t="str">
        <f aca="false">IFERROR(IF(D34="","",VLOOKUP(D34,Members!$A$2:$C$16,3,FALSE())),"")</f>
        <v/>
      </c>
      <c r="G34" s="11"/>
      <c r="H34" s="11"/>
      <c r="I34" s="11"/>
      <c r="J34" s="11"/>
      <c r="K34" s="11"/>
      <c r="L34" s="11"/>
      <c r="M34" s="12"/>
      <c r="N34" s="12"/>
      <c r="O34" s="12"/>
      <c r="P34" s="12"/>
      <c r="Q34" s="12"/>
      <c r="R34" s="12"/>
      <c r="S34" s="13" t="str">
        <f aca="false">IF(COUNT(G34:L34)=0,"",SUM(G34:L34))</f>
        <v/>
      </c>
      <c r="T34" s="14" t="str">
        <f aca="false">IF(COUNT(M34:R34)=0,"",SUM(M34:R34))</f>
        <v/>
      </c>
      <c r="U34" s="9"/>
      <c r="V34" s="15"/>
      <c r="Y34" s="16" t="str">
        <f aca="false">IF(AND(A34="",B34="",D34="",COUNT(G34:L34)=0),"",IF(D34="","Missing shooter",IF(A34="","Missing date",IF(B34="","Missing event",IF(E34="","Club not in roster (type manually)",IF(COUNT(G34:L34)=0,"No scores entered",IF(U34="","Set status (official/provisional)",IF(COUNTIFS($A$2:$A$101,A34,$B$2:$B$101,B34,$D$2:$D$101,D34)&gt;1,"Duplicate entry","OK to upload"))))))))</f>
        <v/>
      </c>
    </row>
    <row r="35" customFormat="false" ht="15" hidden="false" customHeight="true" outlineLevel="0" collapsed="false">
      <c r="A35" s="8"/>
      <c r="B35" s="9"/>
      <c r="C35" s="9"/>
      <c r="D35" s="9"/>
      <c r="E35" s="10" t="str">
        <f aca="false">IFERROR(IF(D35="","",VLOOKUP(D35,Members!$A$2:$C$16,2,FALSE())),"")</f>
        <v/>
      </c>
      <c r="F35" s="10" t="str">
        <f aca="false">IFERROR(IF(D35="","",VLOOKUP(D35,Members!$A$2:$C$16,3,FALSE())),"")</f>
        <v/>
      </c>
      <c r="G35" s="11"/>
      <c r="H35" s="11"/>
      <c r="I35" s="11"/>
      <c r="J35" s="11"/>
      <c r="K35" s="11"/>
      <c r="L35" s="11"/>
      <c r="M35" s="12"/>
      <c r="N35" s="12"/>
      <c r="O35" s="12"/>
      <c r="P35" s="12"/>
      <c r="Q35" s="12"/>
      <c r="R35" s="12"/>
      <c r="S35" s="13" t="str">
        <f aca="false">IF(COUNT(G35:L35)=0,"",SUM(G35:L35))</f>
        <v/>
      </c>
      <c r="T35" s="14" t="str">
        <f aca="false">IF(COUNT(M35:R35)=0,"",SUM(M35:R35))</f>
        <v/>
      </c>
      <c r="U35" s="9"/>
      <c r="V35" s="15"/>
      <c r="Y35" s="16" t="str">
        <f aca="false">IF(AND(A35="",B35="",D35="",COUNT(G35:L35)=0),"",IF(D35="","Missing shooter",IF(A35="","Missing date",IF(B35="","Missing event",IF(E35="","Club not in roster (type manually)",IF(COUNT(G35:L35)=0,"No scores entered",IF(U35="","Set status (official/provisional)",IF(COUNTIFS($A$2:$A$101,A35,$B$2:$B$101,B35,$D$2:$D$101,D35)&gt;1,"Duplicate entry","OK to upload"))))))))</f>
        <v/>
      </c>
    </row>
    <row r="36" customFormat="false" ht="15" hidden="false" customHeight="true" outlineLevel="0" collapsed="false">
      <c r="A36" s="8"/>
      <c r="B36" s="9"/>
      <c r="C36" s="9"/>
      <c r="D36" s="9"/>
      <c r="E36" s="10" t="str">
        <f aca="false">IFERROR(IF(D36="","",VLOOKUP(D36,Members!$A$2:$C$16,2,FALSE())),"")</f>
        <v/>
      </c>
      <c r="F36" s="10" t="str">
        <f aca="false">IFERROR(IF(D36="","",VLOOKUP(D36,Members!$A$2:$C$16,3,FALSE())),"")</f>
        <v/>
      </c>
      <c r="G36" s="11"/>
      <c r="H36" s="11"/>
      <c r="I36" s="11"/>
      <c r="J36" s="11"/>
      <c r="K36" s="11"/>
      <c r="L36" s="11"/>
      <c r="M36" s="12"/>
      <c r="N36" s="12"/>
      <c r="O36" s="12"/>
      <c r="P36" s="12"/>
      <c r="Q36" s="12"/>
      <c r="R36" s="12"/>
      <c r="S36" s="13" t="str">
        <f aca="false">IF(COUNT(G36:L36)=0,"",SUM(G36:L36))</f>
        <v/>
      </c>
      <c r="T36" s="14" t="str">
        <f aca="false">IF(COUNT(M36:R36)=0,"",SUM(M36:R36))</f>
        <v/>
      </c>
      <c r="U36" s="9"/>
      <c r="V36" s="15"/>
      <c r="Y36" s="16" t="str">
        <f aca="false">IF(AND(A36="",B36="",D36="",COUNT(G36:L36)=0),"",IF(D36="","Missing shooter",IF(A36="","Missing date",IF(B36="","Missing event",IF(E36="","Club not in roster (type manually)",IF(COUNT(G36:L36)=0,"No scores entered",IF(U36="","Set status (official/provisional)",IF(COUNTIFS($A$2:$A$101,A36,$B$2:$B$101,B36,$D$2:$D$101,D36)&gt;1,"Duplicate entry","OK to upload"))))))))</f>
        <v/>
      </c>
    </row>
    <row r="37" customFormat="false" ht="15" hidden="false" customHeight="true" outlineLevel="0" collapsed="false">
      <c r="A37" s="8"/>
      <c r="B37" s="9"/>
      <c r="C37" s="9"/>
      <c r="D37" s="9"/>
      <c r="E37" s="10" t="str">
        <f aca="false">IFERROR(IF(D37="","",VLOOKUP(D37,Members!$A$2:$C$16,2,FALSE())),"")</f>
        <v/>
      </c>
      <c r="F37" s="10" t="str">
        <f aca="false">IFERROR(IF(D37="","",VLOOKUP(D37,Members!$A$2:$C$16,3,FALSE())),"")</f>
        <v/>
      </c>
      <c r="G37" s="11"/>
      <c r="H37" s="11"/>
      <c r="I37" s="11"/>
      <c r="J37" s="11"/>
      <c r="K37" s="11"/>
      <c r="L37" s="11"/>
      <c r="M37" s="12"/>
      <c r="N37" s="12"/>
      <c r="O37" s="12"/>
      <c r="P37" s="12"/>
      <c r="Q37" s="12"/>
      <c r="R37" s="12"/>
      <c r="S37" s="13" t="str">
        <f aca="false">IF(COUNT(G37:L37)=0,"",SUM(G37:L37))</f>
        <v/>
      </c>
      <c r="T37" s="14" t="str">
        <f aca="false">IF(COUNT(M37:R37)=0,"",SUM(M37:R37))</f>
        <v/>
      </c>
      <c r="U37" s="9"/>
      <c r="V37" s="15"/>
      <c r="Y37" s="16" t="str">
        <f aca="false">IF(AND(A37="",B37="",D37="",COUNT(G37:L37)=0),"",IF(D37="","Missing shooter",IF(A37="","Missing date",IF(B37="","Missing event",IF(E37="","Club not in roster (type manually)",IF(COUNT(G37:L37)=0,"No scores entered",IF(U37="","Set status (official/provisional)",IF(COUNTIFS($A$2:$A$101,A37,$B$2:$B$101,B37,$D$2:$D$101,D37)&gt;1,"Duplicate entry","OK to upload"))))))))</f>
        <v/>
      </c>
    </row>
    <row r="38" customFormat="false" ht="15" hidden="false" customHeight="true" outlineLevel="0" collapsed="false">
      <c r="A38" s="8"/>
      <c r="B38" s="9"/>
      <c r="C38" s="9"/>
      <c r="D38" s="9"/>
      <c r="E38" s="10" t="str">
        <f aca="false">IFERROR(IF(D38="","",VLOOKUP(D38,Members!$A$2:$C$16,2,FALSE())),"")</f>
        <v/>
      </c>
      <c r="F38" s="10" t="str">
        <f aca="false">IFERROR(IF(D38="","",VLOOKUP(D38,Members!$A$2:$C$16,3,FALSE())),"")</f>
        <v/>
      </c>
      <c r="G38" s="11"/>
      <c r="H38" s="11"/>
      <c r="I38" s="11"/>
      <c r="J38" s="11"/>
      <c r="K38" s="11"/>
      <c r="L38" s="11"/>
      <c r="M38" s="12"/>
      <c r="N38" s="12"/>
      <c r="O38" s="12"/>
      <c r="P38" s="12"/>
      <c r="Q38" s="12"/>
      <c r="R38" s="12"/>
      <c r="S38" s="13" t="str">
        <f aca="false">IF(COUNT(G38:L38)=0,"",SUM(G38:L38))</f>
        <v/>
      </c>
      <c r="T38" s="14" t="str">
        <f aca="false">IF(COUNT(M38:R38)=0,"",SUM(M38:R38))</f>
        <v/>
      </c>
      <c r="U38" s="9"/>
      <c r="V38" s="15"/>
      <c r="Y38" s="16" t="str">
        <f aca="false">IF(AND(A38="",B38="",D38="",COUNT(G38:L38)=0),"",IF(D38="","Missing shooter",IF(A38="","Missing date",IF(B38="","Missing event",IF(E38="","Club not in roster (type manually)",IF(COUNT(G38:L38)=0,"No scores entered",IF(U38="","Set status (official/provisional)",IF(COUNTIFS($A$2:$A$101,A38,$B$2:$B$101,B38,$D$2:$D$101,D38)&gt;1,"Duplicate entry","OK to upload"))))))))</f>
        <v/>
      </c>
    </row>
    <row r="39" customFormat="false" ht="15" hidden="false" customHeight="true" outlineLevel="0" collapsed="false">
      <c r="A39" s="8"/>
      <c r="B39" s="9"/>
      <c r="C39" s="9"/>
      <c r="D39" s="9"/>
      <c r="E39" s="10" t="str">
        <f aca="false">IFERROR(IF(D39="","",VLOOKUP(D39,Members!$A$2:$C$16,2,FALSE())),"")</f>
        <v/>
      </c>
      <c r="F39" s="10" t="str">
        <f aca="false">IFERROR(IF(D39="","",VLOOKUP(D39,Members!$A$2:$C$16,3,FALSE())),"")</f>
        <v/>
      </c>
      <c r="G39" s="11"/>
      <c r="H39" s="11"/>
      <c r="I39" s="11"/>
      <c r="J39" s="11"/>
      <c r="K39" s="11"/>
      <c r="L39" s="11"/>
      <c r="M39" s="12"/>
      <c r="N39" s="12"/>
      <c r="O39" s="12"/>
      <c r="P39" s="12"/>
      <c r="Q39" s="12"/>
      <c r="R39" s="12"/>
      <c r="S39" s="13" t="str">
        <f aca="false">IF(COUNT(G39:L39)=0,"",SUM(G39:L39))</f>
        <v/>
      </c>
      <c r="T39" s="14" t="str">
        <f aca="false">IF(COUNT(M39:R39)=0,"",SUM(M39:R39))</f>
        <v/>
      </c>
      <c r="U39" s="9"/>
      <c r="V39" s="15"/>
      <c r="Y39" s="16" t="str">
        <f aca="false">IF(AND(A39="",B39="",D39="",COUNT(G39:L39)=0),"",IF(D39="","Missing shooter",IF(A39="","Missing date",IF(B39="","Missing event",IF(E39="","Club not in roster (type manually)",IF(COUNT(G39:L39)=0,"No scores entered",IF(U39="","Set status (official/provisional)",IF(COUNTIFS($A$2:$A$101,A39,$B$2:$B$101,B39,$D$2:$D$101,D39)&gt;1,"Duplicate entry","OK to upload"))))))))</f>
        <v/>
      </c>
    </row>
    <row r="40" customFormat="false" ht="15" hidden="false" customHeight="true" outlineLevel="0" collapsed="false">
      <c r="A40" s="8"/>
      <c r="B40" s="9"/>
      <c r="C40" s="9"/>
      <c r="D40" s="9"/>
      <c r="E40" s="10" t="str">
        <f aca="false">IFERROR(IF(D40="","",VLOOKUP(D40,Members!$A$2:$C$16,2,FALSE())),"")</f>
        <v/>
      </c>
      <c r="F40" s="10" t="str">
        <f aca="false">IFERROR(IF(D40="","",VLOOKUP(D40,Members!$A$2:$C$16,3,FALSE())),"")</f>
        <v/>
      </c>
      <c r="G40" s="11"/>
      <c r="H40" s="11"/>
      <c r="I40" s="11"/>
      <c r="J40" s="11"/>
      <c r="K40" s="11"/>
      <c r="L40" s="11"/>
      <c r="M40" s="12"/>
      <c r="N40" s="12"/>
      <c r="O40" s="12"/>
      <c r="P40" s="12"/>
      <c r="Q40" s="12"/>
      <c r="R40" s="12"/>
      <c r="S40" s="13" t="str">
        <f aca="false">IF(COUNT(G40:L40)=0,"",SUM(G40:L40))</f>
        <v/>
      </c>
      <c r="T40" s="14" t="str">
        <f aca="false">IF(COUNT(M40:R40)=0,"",SUM(M40:R40))</f>
        <v/>
      </c>
      <c r="U40" s="9"/>
      <c r="V40" s="15"/>
      <c r="Y40" s="16" t="str">
        <f aca="false">IF(AND(A40="",B40="",D40="",COUNT(G40:L40)=0),"",IF(D40="","Missing shooter",IF(A40="","Missing date",IF(B40="","Missing event",IF(E40="","Club not in roster (type manually)",IF(COUNT(G40:L40)=0,"No scores entered",IF(U40="","Set status (official/provisional)",IF(COUNTIFS($A$2:$A$101,A40,$B$2:$B$101,B40,$D$2:$D$101,D40)&gt;1,"Duplicate entry","OK to upload"))))))))</f>
        <v/>
      </c>
    </row>
    <row r="41" customFormat="false" ht="15" hidden="false" customHeight="true" outlineLevel="0" collapsed="false">
      <c r="A41" s="8"/>
      <c r="B41" s="9"/>
      <c r="C41" s="9"/>
      <c r="D41" s="9"/>
      <c r="E41" s="10" t="str">
        <f aca="false">IFERROR(IF(D41="","",VLOOKUP(D41,Members!$A$2:$C$16,2,FALSE())),"")</f>
        <v/>
      </c>
      <c r="F41" s="10" t="str">
        <f aca="false">IFERROR(IF(D41="","",VLOOKUP(D41,Members!$A$2:$C$16,3,FALSE())),"")</f>
        <v/>
      </c>
      <c r="G41" s="11"/>
      <c r="H41" s="11"/>
      <c r="I41" s="11"/>
      <c r="J41" s="11"/>
      <c r="K41" s="11"/>
      <c r="L41" s="11"/>
      <c r="M41" s="12"/>
      <c r="N41" s="12"/>
      <c r="O41" s="12"/>
      <c r="P41" s="12"/>
      <c r="Q41" s="12"/>
      <c r="R41" s="12"/>
      <c r="S41" s="13" t="str">
        <f aca="false">IF(COUNT(G41:L41)=0,"",SUM(G41:L41))</f>
        <v/>
      </c>
      <c r="T41" s="14" t="str">
        <f aca="false">IF(COUNT(M41:R41)=0,"",SUM(M41:R41))</f>
        <v/>
      </c>
      <c r="U41" s="9"/>
      <c r="V41" s="15"/>
      <c r="Y41" s="16" t="str">
        <f aca="false">IF(AND(A41="",B41="",D41="",COUNT(G41:L41)=0),"",IF(D41="","Missing shooter",IF(A41="","Missing date",IF(B41="","Missing event",IF(E41="","Club not in roster (type manually)",IF(COUNT(G41:L41)=0,"No scores entered",IF(U41="","Set status (official/provisional)",IF(COUNTIFS($A$2:$A$101,A41,$B$2:$B$101,B41,$D$2:$D$101,D41)&gt;1,"Duplicate entry","OK to upload"))))))))</f>
        <v/>
      </c>
    </row>
    <row r="42" customFormat="false" ht="15" hidden="false" customHeight="true" outlineLevel="0" collapsed="false">
      <c r="A42" s="8"/>
      <c r="B42" s="9"/>
      <c r="C42" s="9"/>
      <c r="D42" s="9"/>
      <c r="E42" s="10" t="str">
        <f aca="false">IFERROR(IF(D42="","",VLOOKUP(D42,Members!$A$2:$C$16,2,FALSE())),"")</f>
        <v/>
      </c>
      <c r="F42" s="10" t="str">
        <f aca="false">IFERROR(IF(D42="","",VLOOKUP(D42,Members!$A$2:$C$16,3,FALSE())),"")</f>
        <v/>
      </c>
      <c r="G42" s="11"/>
      <c r="H42" s="11"/>
      <c r="I42" s="11"/>
      <c r="J42" s="11"/>
      <c r="K42" s="11"/>
      <c r="L42" s="11"/>
      <c r="M42" s="12"/>
      <c r="N42" s="12"/>
      <c r="O42" s="12"/>
      <c r="P42" s="12"/>
      <c r="Q42" s="12"/>
      <c r="R42" s="12"/>
      <c r="S42" s="13" t="str">
        <f aca="false">IF(COUNT(G42:L42)=0,"",SUM(G42:L42))</f>
        <v/>
      </c>
      <c r="T42" s="14" t="str">
        <f aca="false">IF(COUNT(M42:R42)=0,"",SUM(M42:R42))</f>
        <v/>
      </c>
      <c r="U42" s="9"/>
      <c r="V42" s="15"/>
      <c r="Y42" s="16" t="str">
        <f aca="false">IF(AND(A42="",B42="",D42="",COUNT(G42:L42)=0),"",IF(D42="","Missing shooter",IF(A42="","Missing date",IF(B42="","Missing event",IF(E42="","Club not in roster (type manually)",IF(COUNT(G42:L42)=0,"No scores entered",IF(U42="","Set status (official/provisional)",IF(COUNTIFS($A$2:$A$101,A42,$B$2:$B$101,B42,$D$2:$D$101,D42)&gt;1,"Duplicate entry","OK to upload"))))))))</f>
        <v/>
      </c>
    </row>
    <row r="43" customFormat="false" ht="15" hidden="false" customHeight="true" outlineLevel="0" collapsed="false">
      <c r="A43" s="8"/>
      <c r="B43" s="9"/>
      <c r="C43" s="9"/>
      <c r="D43" s="9"/>
      <c r="E43" s="10" t="str">
        <f aca="false">IFERROR(IF(D43="","",VLOOKUP(D43,Members!$A$2:$C$16,2,FALSE())),"")</f>
        <v/>
      </c>
      <c r="F43" s="10" t="str">
        <f aca="false">IFERROR(IF(D43="","",VLOOKUP(D43,Members!$A$2:$C$16,3,FALSE())),"")</f>
        <v/>
      </c>
      <c r="G43" s="11"/>
      <c r="H43" s="11"/>
      <c r="I43" s="11"/>
      <c r="J43" s="11"/>
      <c r="K43" s="11"/>
      <c r="L43" s="11"/>
      <c r="M43" s="12"/>
      <c r="N43" s="12"/>
      <c r="O43" s="12"/>
      <c r="P43" s="12"/>
      <c r="Q43" s="12"/>
      <c r="R43" s="12"/>
      <c r="S43" s="13" t="str">
        <f aca="false">IF(COUNT(G43:L43)=0,"",SUM(G43:L43))</f>
        <v/>
      </c>
      <c r="T43" s="14" t="str">
        <f aca="false">IF(COUNT(M43:R43)=0,"",SUM(M43:R43))</f>
        <v/>
      </c>
      <c r="U43" s="9"/>
      <c r="V43" s="15"/>
      <c r="Y43" s="16" t="str">
        <f aca="false">IF(AND(A43="",B43="",D43="",COUNT(G43:L43)=0),"",IF(D43="","Missing shooter",IF(A43="","Missing date",IF(B43="","Missing event",IF(E43="","Club not in roster (type manually)",IF(COUNT(G43:L43)=0,"No scores entered",IF(U43="","Set status (official/provisional)",IF(COUNTIFS($A$2:$A$101,A43,$B$2:$B$101,B43,$D$2:$D$101,D43)&gt;1,"Duplicate entry","OK to upload"))))))))</f>
        <v/>
      </c>
    </row>
    <row r="44" customFormat="false" ht="15" hidden="false" customHeight="true" outlineLevel="0" collapsed="false">
      <c r="A44" s="8"/>
      <c r="B44" s="9"/>
      <c r="C44" s="9"/>
      <c r="D44" s="9"/>
      <c r="E44" s="10" t="str">
        <f aca="false">IFERROR(IF(D44="","",VLOOKUP(D44,Members!$A$2:$C$16,2,FALSE())),"")</f>
        <v/>
      </c>
      <c r="F44" s="10" t="str">
        <f aca="false">IFERROR(IF(D44="","",VLOOKUP(D44,Members!$A$2:$C$16,3,FALSE())),"")</f>
        <v/>
      </c>
      <c r="G44" s="11"/>
      <c r="H44" s="11"/>
      <c r="I44" s="11"/>
      <c r="J44" s="11"/>
      <c r="K44" s="11"/>
      <c r="L44" s="11"/>
      <c r="M44" s="12"/>
      <c r="N44" s="12"/>
      <c r="O44" s="12"/>
      <c r="P44" s="12"/>
      <c r="Q44" s="12"/>
      <c r="R44" s="12"/>
      <c r="S44" s="13" t="str">
        <f aca="false">IF(COUNT(G44:L44)=0,"",SUM(G44:L44))</f>
        <v/>
      </c>
      <c r="T44" s="14" t="str">
        <f aca="false">IF(COUNT(M44:R44)=0,"",SUM(M44:R44))</f>
        <v/>
      </c>
      <c r="U44" s="9"/>
      <c r="V44" s="15"/>
      <c r="Y44" s="16" t="str">
        <f aca="false">IF(AND(A44="",B44="",D44="",COUNT(G44:L44)=0),"",IF(D44="","Missing shooter",IF(A44="","Missing date",IF(B44="","Missing event",IF(E44="","Club not in roster (type manually)",IF(COUNT(G44:L44)=0,"No scores entered",IF(U44="","Set status (official/provisional)",IF(COUNTIFS($A$2:$A$101,A44,$B$2:$B$101,B44,$D$2:$D$101,D44)&gt;1,"Duplicate entry","OK to upload"))))))))</f>
        <v/>
      </c>
    </row>
    <row r="45" customFormat="false" ht="15" hidden="false" customHeight="true" outlineLevel="0" collapsed="false">
      <c r="A45" s="8"/>
      <c r="B45" s="9"/>
      <c r="C45" s="9"/>
      <c r="D45" s="9"/>
      <c r="E45" s="10" t="str">
        <f aca="false">IFERROR(IF(D45="","",VLOOKUP(D45,Members!$A$2:$C$16,2,FALSE())),"")</f>
        <v/>
      </c>
      <c r="F45" s="10" t="str">
        <f aca="false">IFERROR(IF(D45="","",VLOOKUP(D45,Members!$A$2:$C$16,3,FALSE())),"")</f>
        <v/>
      </c>
      <c r="G45" s="11"/>
      <c r="H45" s="11"/>
      <c r="I45" s="11"/>
      <c r="J45" s="11"/>
      <c r="K45" s="11"/>
      <c r="L45" s="11"/>
      <c r="M45" s="12"/>
      <c r="N45" s="12"/>
      <c r="O45" s="12"/>
      <c r="P45" s="12"/>
      <c r="Q45" s="12"/>
      <c r="R45" s="12"/>
      <c r="S45" s="13" t="str">
        <f aca="false">IF(COUNT(G45:L45)=0,"",SUM(G45:L45))</f>
        <v/>
      </c>
      <c r="T45" s="14" t="str">
        <f aca="false">IF(COUNT(M45:R45)=0,"",SUM(M45:R45))</f>
        <v/>
      </c>
      <c r="U45" s="9"/>
      <c r="V45" s="15"/>
      <c r="Y45" s="16" t="str">
        <f aca="false">IF(AND(A45="",B45="",D45="",COUNT(G45:L45)=0),"",IF(D45="","Missing shooter",IF(A45="","Missing date",IF(B45="","Missing event",IF(E45="","Club not in roster (type manually)",IF(COUNT(G45:L45)=0,"No scores entered",IF(U45="","Set status (official/provisional)",IF(COUNTIFS($A$2:$A$101,A45,$B$2:$B$101,B45,$D$2:$D$101,D45)&gt;1,"Duplicate entry","OK to upload"))))))))</f>
        <v/>
      </c>
    </row>
    <row r="46" customFormat="false" ht="15" hidden="false" customHeight="true" outlineLevel="0" collapsed="false">
      <c r="A46" s="8"/>
      <c r="B46" s="9"/>
      <c r="C46" s="9"/>
      <c r="D46" s="9"/>
      <c r="E46" s="10" t="str">
        <f aca="false">IFERROR(IF(D46="","",VLOOKUP(D46,Members!$A$2:$C$16,2,FALSE())),"")</f>
        <v/>
      </c>
      <c r="F46" s="10" t="str">
        <f aca="false">IFERROR(IF(D46="","",VLOOKUP(D46,Members!$A$2:$C$16,3,FALSE())),"")</f>
        <v/>
      </c>
      <c r="G46" s="11"/>
      <c r="H46" s="11"/>
      <c r="I46" s="11"/>
      <c r="J46" s="11"/>
      <c r="K46" s="11"/>
      <c r="L46" s="11"/>
      <c r="M46" s="12"/>
      <c r="N46" s="12"/>
      <c r="O46" s="12"/>
      <c r="P46" s="12"/>
      <c r="Q46" s="12"/>
      <c r="R46" s="12"/>
      <c r="S46" s="13" t="str">
        <f aca="false">IF(COUNT(G46:L46)=0,"",SUM(G46:L46))</f>
        <v/>
      </c>
      <c r="T46" s="14" t="str">
        <f aca="false">IF(COUNT(M46:R46)=0,"",SUM(M46:R46))</f>
        <v/>
      </c>
      <c r="U46" s="9"/>
      <c r="V46" s="15"/>
      <c r="Y46" s="16" t="str">
        <f aca="false">IF(AND(A46="",B46="",D46="",COUNT(G46:L46)=0),"",IF(D46="","Missing shooter",IF(A46="","Missing date",IF(B46="","Missing event",IF(E46="","Club not in roster (type manually)",IF(COUNT(G46:L46)=0,"No scores entered",IF(U46="","Set status (official/provisional)",IF(COUNTIFS($A$2:$A$101,A46,$B$2:$B$101,B46,$D$2:$D$101,D46)&gt;1,"Duplicate entry","OK to upload"))))))))</f>
        <v/>
      </c>
    </row>
    <row r="47" customFormat="false" ht="15" hidden="false" customHeight="true" outlineLevel="0" collapsed="false">
      <c r="A47" s="8"/>
      <c r="B47" s="9"/>
      <c r="C47" s="9"/>
      <c r="D47" s="9"/>
      <c r="E47" s="10" t="str">
        <f aca="false">IFERROR(IF(D47="","",VLOOKUP(D47,Members!$A$2:$C$16,2,FALSE())),"")</f>
        <v/>
      </c>
      <c r="F47" s="10" t="str">
        <f aca="false">IFERROR(IF(D47="","",VLOOKUP(D47,Members!$A$2:$C$16,3,FALSE())),"")</f>
        <v/>
      </c>
      <c r="G47" s="11"/>
      <c r="H47" s="11"/>
      <c r="I47" s="11"/>
      <c r="J47" s="11"/>
      <c r="K47" s="11"/>
      <c r="L47" s="11"/>
      <c r="M47" s="12"/>
      <c r="N47" s="12"/>
      <c r="O47" s="12"/>
      <c r="P47" s="12"/>
      <c r="Q47" s="12"/>
      <c r="R47" s="12"/>
      <c r="S47" s="13" t="str">
        <f aca="false">IF(COUNT(G47:L47)=0,"",SUM(G47:L47))</f>
        <v/>
      </c>
      <c r="T47" s="14" t="str">
        <f aca="false">IF(COUNT(M47:R47)=0,"",SUM(M47:R47))</f>
        <v/>
      </c>
      <c r="U47" s="9"/>
      <c r="V47" s="15"/>
      <c r="Y47" s="16" t="str">
        <f aca="false">IF(AND(A47="",B47="",D47="",COUNT(G47:L47)=0),"",IF(D47="","Missing shooter",IF(A47="","Missing date",IF(B47="","Missing event",IF(E47="","Club not in roster (type manually)",IF(COUNT(G47:L47)=0,"No scores entered",IF(U47="","Set status (official/provisional)",IF(COUNTIFS($A$2:$A$101,A47,$B$2:$B$101,B47,$D$2:$D$101,D47)&gt;1,"Duplicate entry","OK to upload"))))))))</f>
        <v/>
      </c>
    </row>
    <row r="48" customFormat="false" ht="15" hidden="false" customHeight="true" outlineLevel="0" collapsed="false">
      <c r="A48" s="8"/>
      <c r="B48" s="9"/>
      <c r="C48" s="9"/>
      <c r="D48" s="9"/>
      <c r="E48" s="10" t="str">
        <f aca="false">IFERROR(IF(D48="","",VLOOKUP(D48,Members!$A$2:$C$16,2,FALSE())),"")</f>
        <v/>
      </c>
      <c r="F48" s="10" t="str">
        <f aca="false">IFERROR(IF(D48="","",VLOOKUP(D48,Members!$A$2:$C$16,3,FALSE())),"")</f>
        <v/>
      </c>
      <c r="G48" s="11"/>
      <c r="H48" s="11"/>
      <c r="I48" s="11"/>
      <c r="J48" s="11"/>
      <c r="K48" s="11"/>
      <c r="L48" s="11"/>
      <c r="M48" s="12"/>
      <c r="N48" s="12"/>
      <c r="O48" s="12"/>
      <c r="P48" s="12"/>
      <c r="Q48" s="12"/>
      <c r="R48" s="12"/>
      <c r="S48" s="13" t="str">
        <f aca="false">IF(COUNT(G48:L48)=0,"",SUM(G48:L48))</f>
        <v/>
      </c>
      <c r="T48" s="14" t="str">
        <f aca="false">IF(COUNT(M48:R48)=0,"",SUM(M48:R48))</f>
        <v/>
      </c>
      <c r="U48" s="9"/>
      <c r="V48" s="15"/>
      <c r="Y48" s="16" t="str">
        <f aca="false">IF(AND(A48="",B48="",D48="",COUNT(G48:L48)=0),"",IF(D48="","Missing shooter",IF(A48="","Missing date",IF(B48="","Missing event",IF(E48="","Club not in roster (type manually)",IF(COUNT(G48:L48)=0,"No scores entered",IF(U48="","Set status (official/provisional)",IF(COUNTIFS($A$2:$A$101,A48,$B$2:$B$101,B48,$D$2:$D$101,D48)&gt;1,"Duplicate entry","OK to upload"))))))))</f>
        <v/>
      </c>
    </row>
    <row r="49" customFormat="false" ht="15" hidden="false" customHeight="true" outlineLevel="0" collapsed="false">
      <c r="A49" s="8"/>
      <c r="B49" s="9"/>
      <c r="C49" s="9"/>
      <c r="D49" s="9"/>
      <c r="E49" s="10" t="str">
        <f aca="false">IFERROR(IF(D49="","",VLOOKUP(D49,Members!$A$2:$C$16,2,FALSE())),"")</f>
        <v/>
      </c>
      <c r="F49" s="10" t="str">
        <f aca="false">IFERROR(IF(D49="","",VLOOKUP(D49,Members!$A$2:$C$16,3,FALSE())),"")</f>
        <v/>
      </c>
      <c r="G49" s="11"/>
      <c r="H49" s="11"/>
      <c r="I49" s="11"/>
      <c r="J49" s="11"/>
      <c r="K49" s="11"/>
      <c r="L49" s="11"/>
      <c r="M49" s="12"/>
      <c r="N49" s="12"/>
      <c r="O49" s="12"/>
      <c r="P49" s="12"/>
      <c r="Q49" s="12"/>
      <c r="R49" s="12"/>
      <c r="S49" s="13" t="str">
        <f aca="false">IF(COUNT(G49:L49)=0,"",SUM(G49:L49))</f>
        <v/>
      </c>
      <c r="T49" s="14" t="str">
        <f aca="false">IF(COUNT(M49:R49)=0,"",SUM(M49:R49))</f>
        <v/>
      </c>
      <c r="U49" s="9"/>
      <c r="V49" s="15"/>
      <c r="Y49" s="16" t="str">
        <f aca="false">IF(AND(A49="",B49="",D49="",COUNT(G49:L49)=0),"",IF(D49="","Missing shooter",IF(A49="","Missing date",IF(B49="","Missing event",IF(E49="","Club not in roster (type manually)",IF(COUNT(G49:L49)=0,"No scores entered",IF(U49="","Set status (official/provisional)",IF(COUNTIFS($A$2:$A$101,A49,$B$2:$B$101,B49,$D$2:$D$101,D49)&gt;1,"Duplicate entry","OK to upload"))))))))</f>
        <v/>
      </c>
    </row>
    <row r="50" customFormat="false" ht="15" hidden="false" customHeight="true" outlineLevel="0" collapsed="false">
      <c r="A50" s="8"/>
      <c r="B50" s="9"/>
      <c r="C50" s="9"/>
      <c r="D50" s="9"/>
      <c r="E50" s="10" t="str">
        <f aca="false">IFERROR(IF(D50="","",VLOOKUP(D50,Members!$A$2:$C$16,2,FALSE())),"")</f>
        <v/>
      </c>
      <c r="F50" s="10" t="str">
        <f aca="false">IFERROR(IF(D50="","",VLOOKUP(D50,Members!$A$2:$C$16,3,FALSE())),"")</f>
        <v/>
      </c>
      <c r="G50" s="11"/>
      <c r="H50" s="11"/>
      <c r="I50" s="11"/>
      <c r="J50" s="11"/>
      <c r="K50" s="11"/>
      <c r="L50" s="11"/>
      <c r="M50" s="12"/>
      <c r="N50" s="12"/>
      <c r="O50" s="12"/>
      <c r="P50" s="12"/>
      <c r="Q50" s="12"/>
      <c r="R50" s="12"/>
      <c r="S50" s="13" t="str">
        <f aca="false">IF(COUNT(G50:L50)=0,"",SUM(G50:L50))</f>
        <v/>
      </c>
      <c r="T50" s="14" t="str">
        <f aca="false">IF(COUNT(M50:R50)=0,"",SUM(M50:R50))</f>
        <v/>
      </c>
      <c r="U50" s="9"/>
      <c r="V50" s="15"/>
      <c r="Y50" s="16" t="str">
        <f aca="false">IF(AND(A50="",B50="",D50="",COUNT(G50:L50)=0),"",IF(D50="","Missing shooter",IF(A50="","Missing date",IF(B50="","Missing event",IF(E50="","Club not in roster (type manually)",IF(COUNT(G50:L50)=0,"No scores entered",IF(U50="","Set status (official/provisional)",IF(COUNTIFS($A$2:$A$101,A50,$B$2:$B$101,B50,$D$2:$D$101,D50)&gt;1,"Duplicate entry","OK to upload"))))))))</f>
        <v/>
      </c>
    </row>
    <row r="51" customFormat="false" ht="15" hidden="false" customHeight="true" outlineLevel="0" collapsed="false">
      <c r="A51" s="8"/>
      <c r="B51" s="9"/>
      <c r="C51" s="9"/>
      <c r="D51" s="9"/>
      <c r="E51" s="10" t="str">
        <f aca="false">IFERROR(IF(D51="","",VLOOKUP(D51,Members!$A$2:$C$16,2,FALSE())),"")</f>
        <v/>
      </c>
      <c r="F51" s="10" t="str">
        <f aca="false">IFERROR(IF(D51="","",VLOOKUP(D51,Members!$A$2:$C$16,3,FALSE())),"")</f>
        <v/>
      </c>
      <c r="G51" s="11"/>
      <c r="H51" s="11"/>
      <c r="I51" s="11"/>
      <c r="J51" s="11"/>
      <c r="K51" s="11"/>
      <c r="L51" s="11"/>
      <c r="M51" s="12"/>
      <c r="N51" s="12"/>
      <c r="O51" s="12"/>
      <c r="P51" s="12"/>
      <c r="Q51" s="12"/>
      <c r="R51" s="12"/>
      <c r="S51" s="13" t="str">
        <f aca="false">IF(COUNT(G51:L51)=0,"",SUM(G51:L51))</f>
        <v/>
      </c>
      <c r="T51" s="14" t="str">
        <f aca="false">IF(COUNT(M51:R51)=0,"",SUM(M51:R51))</f>
        <v/>
      </c>
      <c r="U51" s="9"/>
      <c r="V51" s="15"/>
      <c r="Y51" s="16" t="str">
        <f aca="false">IF(AND(A51="",B51="",D51="",COUNT(G51:L51)=0),"",IF(D51="","Missing shooter",IF(A51="","Missing date",IF(B51="","Missing event",IF(E51="","Club not in roster (type manually)",IF(COUNT(G51:L51)=0,"No scores entered",IF(U51="","Set status (official/provisional)",IF(COUNTIFS($A$2:$A$101,A51,$B$2:$B$101,B51,$D$2:$D$101,D51)&gt;1,"Duplicate entry","OK to upload"))))))))</f>
        <v/>
      </c>
    </row>
    <row r="52" customFormat="false" ht="15" hidden="false" customHeight="true" outlineLevel="0" collapsed="false">
      <c r="A52" s="8"/>
      <c r="B52" s="9"/>
      <c r="C52" s="9"/>
      <c r="D52" s="9"/>
      <c r="E52" s="10" t="str">
        <f aca="false">IFERROR(IF(D52="","",VLOOKUP(D52,Members!$A$2:$C$16,2,FALSE())),"")</f>
        <v/>
      </c>
      <c r="F52" s="10" t="str">
        <f aca="false">IFERROR(IF(D52="","",VLOOKUP(D52,Members!$A$2:$C$16,3,FALSE())),"")</f>
        <v/>
      </c>
      <c r="G52" s="11"/>
      <c r="H52" s="11"/>
      <c r="I52" s="11"/>
      <c r="J52" s="11"/>
      <c r="K52" s="11"/>
      <c r="L52" s="11"/>
      <c r="M52" s="12"/>
      <c r="N52" s="12"/>
      <c r="O52" s="12"/>
      <c r="P52" s="12"/>
      <c r="Q52" s="12"/>
      <c r="R52" s="12"/>
      <c r="S52" s="13" t="str">
        <f aca="false">IF(COUNT(G52:L52)=0,"",SUM(G52:L52))</f>
        <v/>
      </c>
      <c r="T52" s="14" t="str">
        <f aca="false">IF(COUNT(M52:R52)=0,"",SUM(M52:R52))</f>
        <v/>
      </c>
      <c r="U52" s="9"/>
      <c r="V52" s="15"/>
      <c r="Y52" s="16" t="str">
        <f aca="false">IF(AND(A52="",B52="",D52="",COUNT(G52:L52)=0),"",IF(D52="","Missing shooter",IF(A52="","Missing date",IF(B52="","Missing event",IF(E52="","Club not in roster (type manually)",IF(COUNT(G52:L52)=0,"No scores entered",IF(U52="","Set status (official/provisional)",IF(COUNTIFS($A$2:$A$101,A52,$B$2:$B$101,B52,$D$2:$D$101,D52)&gt;1,"Duplicate entry","OK to upload"))))))))</f>
        <v/>
      </c>
    </row>
    <row r="53" customFormat="false" ht="15" hidden="false" customHeight="true" outlineLevel="0" collapsed="false">
      <c r="A53" s="8"/>
      <c r="B53" s="9"/>
      <c r="C53" s="9"/>
      <c r="D53" s="9"/>
      <c r="E53" s="10" t="str">
        <f aca="false">IFERROR(IF(D53="","",VLOOKUP(D53,Members!$A$2:$C$16,2,FALSE())),"")</f>
        <v/>
      </c>
      <c r="F53" s="10" t="str">
        <f aca="false">IFERROR(IF(D53="","",VLOOKUP(D53,Members!$A$2:$C$16,3,FALSE())),"")</f>
        <v/>
      </c>
      <c r="G53" s="11"/>
      <c r="H53" s="11"/>
      <c r="I53" s="11"/>
      <c r="J53" s="11"/>
      <c r="K53" s="11"/>
      <c r="L53" s="11"/>
      <c r="M53" s="12"/>
      <c r="N53" s="12"/>
      <c r="O53" s="12"/>
      <c r="P53" s="12"/>
      <c r="Q53" s="12"/>
      <c r="R53" s="12"/>
      <c r="S53" s="13" t="str">
        <f aca="false">IF(COUNT(G53:L53)=0,"",SUM(G53:L53))</f>
        <v/>
      </c>
      <c r="T53" s="14" t="str">
        <f aca="false">IF(COUNT(M53:R53)=0,"",SUM(M53:R53))</f>
        <v/>
      </c>
      <c r="U53" s="9"/>
      <c r="V53" s="15"/>
      <c r="Y53" s="16" t="str">
        <f aca="false">IF(AND(A53="",B53="",D53="",COUNT(G53:L53)=0),"",IF(D53="","Missing shooter",IF(A53="","Missing date",IF(B53="","Missing event",IF(E53="","Club not in roster (type manually)",IF(COUNT(G53:L53)=0,"No scores entered",IF(U53="","Set status (official/provisional)",IF(COUNTIFS($A$2:$A$101,A53,$B$2:$B$101,B53,$D$2:$D$101,D53)&gt;1,"Duplicate entry","OK to upload"))))))))</f>
        <v/>
      </c>
    </row>
    <row r="54" customFormat="false" ht="15" hidden="false" customHeight="true" outlineLevel="0" collapsed="false">
      <c r="A54" s="8"/>
      <c r="B54" s="9"/>
      <c r="C54" s="9"/>
      <c r="D54" s="9"/>
      <c r="E54" s="10" t="str">
        <f aca="false">IFERROR(IF(D54="","",VLOOKUP(D54,Members!$A$2:$C$16,2,FALSE())),"")</f>
        <v/>
      </c>
      <c r="F54" s="10" t="str">
        <f aca="false">IFERROR(IF(D54="","",VLOOKUP(D54,Members!$A$2:$C$16,3,FALSE())),"")</f>
        <v/>
      </c>
      <c r="G54" s="11"/>
      <c r="H54" s="11"/>
      <c r="I54" s="11"/>
      <c r="J54" s="11"/>
      <c r="K54" s="11"/>
      <c r="L54" s="11"/>
      <c r="M54" s="12"/>
      <c r="N54" s="12"/>
      <c r="O54" s="12"/>
      <c r="P54" s="12"/>
      <c r="Q54" s="12"/>
      <c r="R54" s="12"/>
      <c r="S54" s="13" t="str">
        <f aca="false">IF(COUNT(G54:L54)=0,"",SUM(G54:L54))</f>
        <v/>
      </c>
      <c r="T54" s="14" t="str">
        <f aca="false">IF(COUNT(M54:R54)=0,"",SUM(M54:R54))</f>
        <v/>
      </c>
      <c r="U54" s="9"/>
      <c r="V54" s="15"/>
      <c r="Y54" s="16" t="str">
        <f aca="false">IF(AND(A54="",B54="",D54="",COUNT(G54:L54)=0),"",IF(D54="","Missing shooter",IF(A54="","Missing date",IF(B54="","Missing event",IF(E54="","Club not in roster (type manually)",IF(COUNT(G54:L54)=0,"No scores entered",IF(U54="","Set status (official/provisional)",IF(COUNTIFS($A$2:$A$101,A54,$B$2:$B$101,B54,$D$2:$D$101,D54)&gt;1,"Duplicate entry","OK to upload"))))))))</f>
        <v/>
      </c>
    </row>
    <row r="55" customFormat="false" ht="15" hidden="false" customHeight="true" outlineLevel="0" collapsed="false">
      <c r="A55" s="8"/>
      <c r="B55" s="9"/>
      <c r="C55" s="9"/>
      <c r="D55" s="9"/>
      <c r="E55" s="10" t="str">
        <f aca="false">IFERROR(IF(D55="","",VLOOKUP(D55,Members!$A$2:$C$16,2,FALSE())),"")</f>
        <v/>
      </c>
      <c r="F55" s="10" t="str">
        <f aca="false">IFERROR(IF(D55="","",VLOOKUP(D55,Members!$A$2:$C$16,3,FALSE())),"")</f>
        <v/>
      </c>
      <c r="G55" s="11"/>
      <c r="H55" s="11"/>
      <c r="I55" s="11"/>
      <c r="J55" s="11"/>
      <c r="K55" s="11"/>
      <c r="L55" s="11"/>
      <c r="M55" s="12"/>
      <c r="N55" s="12"/>
      <c r="O55" s="12"/>
      <c r="P55" s="12"/>
      <c r="Q55" s="12"/>
      <c r="R55" s="12"/>
      <c r="S55" s="13" t="str">
        <f aca="false">IF(COUNT(G55:L55)=0,"",SUM(G55:L55))</f>
        <v/>
      </c>
      <c r="T55" s="14" t="str">
        <f aca="false">IF(COUNT(M55:R55)=0,"",SUM(M55:R55))</f>
        <v/>
      </c>
      <c r="U55" s="9"/>
      <c r="V55" s="15"/>
      <c r="Y55" s="16" t="str">
        <f aca="false">IF(AND(A55="",B55="",D55="",COUNT(G55:L55)=0),"",IF(D55="","Missing shooter",IF(A55="","Missing date",IF(B55="","Missing event",IF(E55="","Club not in roster (type manually)",IF(COUNT(G55:L55)=0,"No scores entered",IF(U55="","Set status (official/provisional)",IF(COUNTIFS($A$2:$A$101,A55,$B$2:$B$101,B55,$D$2:$D$101,D55)&gt;1,"Duplicate entry","OK to upload"))))))))</f>
        <v/>
      </c>
    </row>
    <row r="56" customFormat="false" ht="15" hidden="false" customHeight="true" outlineLevel="0" collapsed="false">
      <c r="A56" s="8"/>
      <c r="B56" s="9"/>
      <c r="C56" s="9"/>
      <c r="D56" s="9"/>
      <c r="E56" s="10" t="str">
        <f aca="false">IFERROR(IF(D56="","",VLOOKUP(D56,Members!$A$2:$C$16,2,FALSE())),"")</f>
        <v/>
      </c>
      <c r="F56" s="10" t="str">
        <f aca="false">IFERROR(IF(D56="","",VLOOKUP(D56,Members!$A$2:$C$16,3,FALSE())),"")</f>
        <v/>
      </c>
      <c r="G56" s="11"/>
      <c r="H56" s="11"/>
      <c r="I56" s="11"/>
      <c r="J56" s="11"/>
      <c r="K56" s="11"/>
      <c r="L56" s="11"/>
      <c r="M56" s="12"/>
      <c r="N56" s="12"/>
      <c r="O56" s="12"/>
      <c r="P56" s="12"/>
      <c r="Q56" s="12"/>
      <c r="R56" s="12"/>
      <c r="S56" s="13" t="str">
        <f aca="false">IF(COUNT(G56:L56)=0,"",SUM(G56:L56))</f>
        <v/>
      </c>
      <c r="T56" s="14" t="str">
        <f aca="false">IF(COUNT(M56:R56)=0,"",SUM(M56:R56))</f>
        <v/>
      </c>
      <c r="U56" s="9"/>
      <c r="V56" s="15"/>
      <c r="Y56" s="16" t="str">
        <f aca="false">IF(AND(A56="",B56="",D56="",COUNT(G56:L56)=0),"",IF(D56="","Missing shooter",IF(A56="","Missing date",IF(B56="","Missing event",IF(E56="","Club not in roster (type manually)",IF(COUNT(G56:L56)=0,"No scores entered",IF(U56="","Set status (official/provisional)",IF(COUNTIFS($A$2:$A$101,A56,$B$2:$B$101,B56,$D$2:$D$101,D56)&gt;1,"Duplicate entry","OK to upload"))))))))</f>
        <v/>
      </c>
    </row>
    <row r="57" customFormat="false" ht="15" hidden="false" customHeight="true" outlineLevel="0" collapsed="false">
      <c r="A57" s="8"/>
      <c r="B57" s="9"/>
      <c r="C57" s="9"/>
      <c r="D57" s="9"/>
      <c r="E57" s="10" t="str">
        <f aca="false">IFERROR(IF(D57="","",VLOOKUP(D57,Members!$A$2:$C$16,2,FALSE())),"")</f>
        <v/>
      </c>
      <c r="F57" s="10" t="str">
        <f aca="false">IFERROR(IF(D57="","",VLOOKUP(D57,Members!$A$2:$C$16,3,FALSE())),"")</f>
        <v/>
      </c>
      <c r="G57" s="11"/>
      <c r="H57" s="11"/>
      <c r="I57" s="11"/>
      <c r="J57" s="11"/>
      <c r="K57" s="11"/>
      <c r="L57" s="11"/>
      <c r="M57" s="12"/>
      <c r="N57" s="12"/>
      <c r="O57" s="12"/>
      <c r="P57" s="12"/>
      <c r="Q57" s="12"/>
      <c r="R57" s="12"/>
      <c r="S57" s="13" t="str">
        <f aca="false">IF(COUNT(G57:L57)=0,"",SUM(G57:L57))</f>
        <v/>
      </c>
      <c r="T57" s="14" t="str">
        <f aca="false">IF(COUNT(M57:R57)=0,"",SUM(M57:R57))</f>
        <v/>
      </c>
      <c r="U57" s="9"/>
      <c r="V57" s="15"/>
      <c r="Y57" s="16" t="str">
        <f aca="false">IF(AND(A57="",B57="",D57="",COUNT(G57:L57)=0),"",IF(D57="","Missing shooter",IF(A57="","Missing date",IF(B57="","Missing event",IF(E57="","Club not in roster (type manually)",IF(COUNT(G57:L57)=0,"No scores entered",IF(U57="","Set status (official/provisional)",IF(COUNTIFS($A$2:$A$101,A57,$B$2:$B$101,B57,$D$2:$D$101,D57)&gt;1,"Duplicate entry","OK to upload"))))))))</f>
        <v/>
      </c>
    </row>
    <row r="58" customFormat="false" ht="15" hidden="false" customHeight="true" outlineLevel="0" collapsed="false">
      <c r="A58" s="8"/>
      <c r="B58" s="9"/>
      <c r="C58" s="9"/>
      <c r="D58" s="9"/>
      <c r="E58" s="10" t="str">
        <f aca="false">IFERROR(IF(D58="","",VLOOKUP(D58,Members!$A$2:$C$16,2,FALSE())),"")</f>
        <v/>
      </c>
      <c r="F58" s="10" t="str">
        <f aca="false">IFERROR(IF(D58="","",VLOOKUP(D58,Members!$A$2:$C$16,3,FALSE())),"")</f>
        <v/>
      </c>
      <c r="G58" s="11"/>
      <c r="H58" s="11"/>
      <c r="I58" s="11"/>
      <c r="J58" s="11"/>
      <c r="K58" s="11"/>
      <c r="L58" s="11"/>
      <c r="M58" s="12"/>
      <c r="N58" s="12"/>
      <c r="O58" s="12"/>
      <c r="P58" s="12"/>
      <c r="Q58" s="12"/>
      <c r="R58" s="12"/>
      <c r="S58" s="13" t="str">
        <f aca="false">IF(COUNT(G58:L58)=0,"",SUM(G58:L58))</f>
        <v/>
      </c>
      <c r="T58" s="14" t="str">
        <f aca="false">IF(COUNT(M58:R58)=0,"",SUM(M58:R58))</f>
        <v/>
      </c>
      <c r="U58" s="9"/>
      <c r="V58" s="15"/>
      <c r="Y58" s="16" t="str">
        <f aca="false">IF(AND(A58="",B58="",D58="",COUNT(G58:L58)=0),"",IF(D58="","Missing shooter",IF(A58="","Missing date",IF(B58="","Missing event",IF(E58="","Club not in roster (type manually)",IF(COUNT(G58:L58)=0,"No scores entered",IF(U58="","Set status (official/provisional)",IF(COUNTIFS($A$2:$A$101,A58,$B$2:$B$101,B58,$D$2:$D$101,D58)&gt;1,"Duplicate entry","OK to upload"))))))))</f>
        <v/>
      </c>
    </row>
    <row r="59" customFormat="false" ht="15" hidden="false" customHeight="true" outlineLevel="0" collapsed="false">
      <c r="A59" s="8"/>
      <c r="B59" s="9"/>
      <c r="C59" s="9"/>
      <c r="D59" s="9"/>
      <c r="E59" s="10" t="str">
        <f aca="false">IFERROR(IF(D59="","",VLOOKUP(D59,Members!$A$2:$C$16,2,FALSE())),"")</f>
        <v/>
      </c>
      <c r="F59" s="10" t="str">
        <f aca="false">IFERROR(IF(D59="","",VLOOKUP(D59,Members!$A$2:$C$16,3,FALSE())),"")</f>
        <v/>
      </c>
      <c r="G59" s="11"/>
      <c r="H59" s="11"/>
      <c r="I59" s="11"/>
      <c r="J59" s="11"/>
      <c r="K59" s="11"/>
      <c r="L59" s="11"/>
      <c r="M59" s="12"/>
      <c r="N59" s="12"/>
      <c r="O59" s="12"/>
      <c r="P59" s="12"/>
      <c r="Q59" s="12"/>
      <c r="R59" s="12"/>
      <c r="S59" s="13" t="str">
        <f aca="false">IF(COUNT(G59:L59)=0,"",SUM(G59:L59))</f>
        <v/>
      </c>
      <c r="T59" s="14" t="str">
        <f aca="false">IF(COUNT(M59:R59)=0,"",SUM(M59:R59))</f>
        <v/>
      </c>
      <c r="U59" s="9"/>
      <c r="V59" s="15"/>
      <c r="Y59" s="16" t="str">
        <f aca="false">IF(AND(A59="",B59="",D59="",COUNT(G59:L59)=0),"",IF(D59="","Missing shooter",IF(A59="","Missing date",IF(B59="","Missing event",IF(E59="","Club not in roster (type manually)",IF(COUNT(G59:L59)=0,"No scores entered",IF(U59="","Set status (official/provisional)",IF(COUNTIFS($A$2:$A$101,A59,$B$2:$B$101,B59,$D$2:$D$101,D59)&gt;1,"Duplicate entry","OK to upload"))))))))</f>
        <v/>
      </c>
    </row>
    <row r="60" customFormat="false" ht="15" hidden="false" customHeight="true" outlineLevel="0" collapsed="false">
      <c r="A60" s="8"/>
      <c r="B60" s="9"/>
      <c r="C60" s="9"/>
      <c r="D60" s="9"/>
      <c r="E60" s="10" t="str">
        <f aca="false">IFERROR(IF(D60="","",VLOOKUP(D60,Members!$A$2:$C$16,2,FALSE())),"")</f>
        <v/>
      </c>
      <c r="F60" s="10" t="str">
        <f aca="false">IFERROR(IF(D60="","",VLOOKUP(D60,Members!$A$2:$C$16,3,FALSE())),"")</f>
        <v/>
      </c>
      <c r="G60" s="11"/>
      <c r="H60" s="11"/>
      <c r="I60" s="11"/>
      <c r="J60" s="11"/>
      <c r="K60" s="11"/>
      <c r="L60" s="11"/>
      <c r="M60" s="12"/>
      <c r="N60" s="12"/>
      <c r="O60" s="12"/>
      <c r="P60" s="12"/>
      <c r="Q60" s="12"/>
      <c r="R60" s="12"/>
      <c r="S60" s="13" t="str">
        <f aca="false">IF(COUNT(G60:L60)=0,"",SUM(G60:L60))</f>
        <v/>
      </c>
      <c r="T60" s="14" t="str">
        <f aca="false">IF(COUNT(M60:R60)=0,"",SUM(M60:R60))</f>
        <v/>
      </c>
      <c r="U60" s="9"/>
      <c r="V60" s="15"/>
      <c r="Y60" s="16" t="str">
        <f aca="false">IF(AND(A60="",B60="",D60="",COUNT(G60:L60)=0),"",IF(D60="","Missing shooter",IF(A60="","Missing date",IF(B60="","Missing event",IF(E60="","Club not in roster (type manually)",IF(COUNT(G60:L60)=0,"No scores entered",IF(U60="","Set status (official/provisional)",IF(COUNTIFS($A$2:$A$101,A60,$B$2:$B$101,B60,$D$2:$D$101,D60)&gt;1,"Duplicate entry","OK to upload"))))))))</f>
        <v/>
      </c>
    </row>
    <row r="61" customFormat="false" ht="15" hidden="false" customHeight="true" outlineLevel="0" collapsed="false">
      <c r="A61" s="8"/>
      <c r="B61" s="9"/>
      <c r="C61" s="9"/>
      <c r="D61" s="9"/>
      <c r="E61" s="10" t="str">
        <f aca="false">IFERROR(IF(D61="","",VLOOKUP(D61,Members!$A$2:$C$16,2,FALSE())),"")</f>
        <v/>
      </c>
      <c r="F61" s="10" t="str">
        <f aca="false">IFERROR(IF(D61="","",VLOOKUP(D61,Members!$A$2:$C$16,3,FALSE())),"")</f>
        <v/>
      </c>
      <c r="G61" s="11"/>
      <c r="H61" s="11"/>
      <c r="I61" s="11"/>
      <c r="J61" s="11"/>
      <c r="K61" s="11"/>
      <c r="L61" s="11"/>
      <c r="M61" s="12"/>
      <c r="N61" s="12"/>
      <c r="O61" s="12"/>
      <c r="P61" s="12"/>
      <c r="Q61" s="12"/>
      <c r="R61" s="12"/>
      <c r="S61" s="13" t="str">
        <f aca="false">IF(COUNT(G61:L61)=0,"",SUM(G61:L61))</f>
        <v/>
      </c>
      <c r="T61" s="14" t="str">
        <f aca="false">IF(COUNT(M61:R61)=0,"",SUM(M61:R61))</f>
        <v/>
      </c>
      <c r="U61" s="9"/>
      <c r="V61" s="15"/>
      <c r="Y61" s="16" t="str">
        <f aca="false">IF(AND(A61="",B61="",D61="",COUNT(G61:L61)=0),"",IF(D61="","Missing shooter",IF(A61="","Missing date",IF(B61="","Missing event",IF(E61="","Club not in roster (type manually)",IF(COUNT(G61:L61)=0,"No scores entered",IF(U61="","Set status (official/provisional)",IF(COUNTIFS($A$2:$A$101,A61,$B$2:$B$101,B61,$D$2:$D$101,D61)&gt;1,"Duplicate entry","OK to upload"))))))))</f>
        <v/>
      </c>
    </row>
    <row r="62" customFormat="false" ht="15" hidden="false" customHeight="true" outlineLevel="0" collapsed="false">
      <c r="A62" s="8"/>
      <c r="B62" s="9"/>
      <c r="C62" s="9"/>
      <c r="D62" s="9"/>
      <c r="E62" s="10" t="str">
        <f aca="false">IFERROR(IF(D62="","",VLOOKUP(D62,Members!$A$2:$C$16,2,FALSE())),"")</f>
        <v/>
      </c>
      <c r="F62" s="10" t="str">
        <f aca="false">IFERROR(IF(D62="","",VLOOKUP(D62,Members!$A$2:$C$16,3,FALSE())),"")</f>
        <v/>
      </c>
      <c r="G62" s="11"/>
      <c r="H62" s="11"/>
      <c r="I62" s="11"/>
      <c r="J62" s="11"/>
      <c r="K62" s="11"/>
      <c r="L62" s="11"/>
      <c r="M62" s="12"/>
      <c r="N62" s="12"/>
      <c r="O62" s="12"/>
      <c r="P62" s="12"/>
      <c r="Q62" s="12"/>
      <c r="R62" s="12"/>
      <c r="S62" s="13" t="str">
        <f aca="false">IF(COUNT(G62:L62)=0,"",SUM(G62:L62))</f>
        <v/>
      </c>
      <c r="T62" s="14" t="str">
        <f aca="false">IF(COUNT(M62:R62)=0,"",SUM(M62:R62))</f>
        <v/>
      </c>
      <c r="U62" s="9"/>
      <c r="V62" s="15"/>
      <c r="Y62" s="16" t="str">
        <f aca="false">IF(AND(A62="",B62="",D62="",COUNT(G62:L62)=0),"",IF(D62="","Missing shooter",IF(A62="","Missing date",IF(B62="","Missing event",IF(E62="","Club not in roster (type manually)",IF(COUNT(G62:L62)=0,"No scores entered",IF(U62="","Set status (official/provisional)",IF(COUNTIFS($A$2:$A$101,A62,$B$2:$B$101,B62,$D$2:$D$101,D62)&gt;1,"Duplicate entry","OK to upload"))))))))</f>
        <v/>
      </c>
    </row>
    <row r="63" customFormat="false" ht="15" hidden="false" customHeight="true" outlineLevel="0" collapsed="false">
      <c r="A63" s="8"/>
      <c r="B63" s="9"/>
      <c r="C63" s="9"/>
      <c r="D63" s="9"/>
      <c r="E63" s="10" t="str">
        <f aca="false">IFERROR(IF(D63="","",VLOOKUP(D63,Members!$A$2:$C$16,2,FALSE())),"")</f>
        <v/>
      </c>
      <c r="F63" s="10" t="str">
        <f aca="false">IFERROR(IF(D63="","",VLOOKUP(D63,Members!$A$2:$C$16,3,FALSE())),"")</f>
        <v/>
      </c>
      <c r="G63" s="11"/>
      <c r="H63" s="11"/>
      <c r="I63" s="11"/>
      <c r="J63" s="11"/>
      <c r="K63" s="11"/>
      <c r="L63" s="11"/>
      <c r="M63" s="12"/>
      <c r="N63" s="12"/>
      <c r="O63" s="12"/>
      <c r="P63" s="12"/>
      <c r="Q63" s="12"/>
      <c r="R63" s="12"/>
      <c r="S63" s="13" t="str">
        <f aca="false">IF(COUNT(G63:L63)=0,"",SUM(G63:L63))</f>
        <v/>
      </c>
      <c r="T63" s="14" t="str">
        <f aca="false">IF(COUNT(M63:R63)=0,"",SUM(M63:R63))</f>
        <v/>
      </c>
      <c r="U63" s="9"/>
      <c r="V63" s="15"/>
      <c r="Y63" s="16" t="str">
        <f aca="false">IF(AND(A63="",B63="",D63="",COUNT(G63:L63)=0),"",IF(D63="","Missing shooter",IF(A63="","Missing date",IF(B63="","Missing event",IF(E63="","Club not in roster (type manually)",IF(COUNT(G63:L63)=0,"No scores entered",IF(U63="","Set status (official/provisional)",IF(COUNTIFS($A$2:$A$101,A63,$B$2:$B$101,B63,$D$2:$D$101,D63)&gt;1,"Duplicate entry","OK to upload"))))))))</f>
        <v/>
      </c>
    </row>
    <row r="64" customFormat="false" ht="15" hidden="false" customHeight="true" outlineLevel="0" collapsed="false">
      <c r="A64" s="8"/>
      <c r="B64" s="9"/>
      <c r="C64" s="9"/>
      <c r="D64" s="9"/>
      <c r="E64" s="10" t="str">
        <f aca="false">IFERROR(IF(D64="","",VLOOKUP(D64,Members!$A$2:$C$16,2,FALSE())),"")</f>
        <v/>
      </c>
      <c r="F64" s="10" t="str">
        <f aca="false">IFERROR(IF(D64="","",VLOOKUP(D64,Members!$A$2:$C$16,3,FALSE())),"")</f>
        <v/>
      </c>
      <c r="G64" s="11"/>
      <c r="H64" s="11"/>
      <c r="I64" s="11"/>
      <c r="J64" s="11"/>
      <c r="K64" s="11"/>
      <c r="L64" s="11"/>
      <c r="M64" s="12"/>
      <c r="N64" s="12"/>
      <c r="O64" s="12"/>
      <c r="P64" s="12"/>
      <c r="Q64" s="12"/>
      <c r="R64" s="12"/>
      <c r="S64" s="13" t="str">
        <f aca="false">IF(COUNT(G64:L64)=0,"",SUM(G64:L64))</f>
        <v/>
      </c>
      <c r="T64" s="14" t="str">
        <f aca="false">IF(COUNT(M64:R64)=0,"",SUM(M64:R64))</f>
        <v/>
      </c>
      <c r="U64" s="9"/>
      <c r="V64" s="15"/>
      <c r="Y64" s="16" t="str">
        <f aca="false">IF(AND(A64="",B64="",D64="",COUNT(G64:L64)=0),"",IF(D64="","Missing shooter",IF(A64="","Missing date",IF(B64="","Missing event",IF(E64="","Club not in roster (type manually)",IF(COUNT(G64:L64)=0,"No scores entered",IF(U64="","Set status (official/provisional)",IF(COUNTIFS($A$2:$A$101,A64,$B$2:$B$101,B64,$D$2:$D$101,D64)&gt;1,"Duplicate entry","OK to upload"))))))))</f>
        <v/>
      </c>
    </row>
    <row r="65" customFormat="false" ht="15" hidden="false" customHeight="true" outlineLevel="0" collapsed="false">
      <c r="A65" s="8"/>
      <c r="B65" s="9"/>
      <c r="C65" s="9"/>
      <c r="D65" s="9"/>
      <c r="E65" s="10" t="str">
        <f aca="false">IFERROR(IF(D65="","",VLOOKUP(D65,Members!$A$2:$C$16,2,FALSE())),"")</f>
        <v/>
      </c>
      <c r="F65" s="10" t="str">
        <f aca="false">IFERROR(IF(D65="","",VLOOKUP(D65,Members!$A$2:$C$16,3,FALSE())),"")</f>
        <v/>
      </c>
      <c r="G65" s="11"/>
      <c r="H65" s="11"/>
      <c r="I65" s="11"/>
      <c r="J65" s="11"/>
      <c r="K65" s="11"/>
      <c r="L65" s="11"/>
      <c r="M65" s="12"/>
      <c r="N65" s="12"/>
      <c r="O65" s="12"/>
      <c r="P65" s="12"/>
      <c r="Q65" s="12"/>
      <c r="R65" s="12"/>
      <c r="S65" s="13" t="str">
        <f aca="false">IF(COUNT(G65:L65)=0,"",SUM(G65:L65))</f>
        <v/>
      </c>
      <c r="T65" s="14" t="str">
        <f aca="false">IF(COUNT(M65:R65)=0,"",SUM(M65:R65))</f>
        <v/>
      </c>
      <c r="U65" s="9"/>
      <c r="V65" s="15"/>
      <c r="Y65" s="16" t="str">
        <f aca="false">IF(AND(A65="",B65="",D65="",COUNT(G65:L65)=0),"",IF(D65="","Missing shooter",IF(A65="","Missing date",IF(B65="","Missing event",IF(E65="","Club not in roster (type manually)",IF(COUNT(G65:L65)=0,"No scores entered",IF(U65="","Set status (official/provisional)",IF(COUNTIFS($A$2:$A$101,A65,$B$2:$B$101,B65,$D$2:$D$101,D65)&gt;1,"Duplicate entry","OK to upload"))))))))</f>
        <v/>
      </c>
    </row>
    <row r="66" customFormat="false" ht="15" hidden="false" customHeight="true" outlineLevel="0" collapsed="false">
      <c r="A66" s="8"/>
      <c r="B66" s="9"/>
      <c r="C66" s="9"/>
      <c r="D66" s="9"/>
      <c r="E66" s="10" t="str">
        <f aca="false">IFERROR(IF(D66="","",VLOOKUP(D66,Members!$A$2:$C$16,2,FALSE())),"")</f>
        <v/>
      </c>
      <c r="F66" s="10" t="str">
        <f aca="false">IFERROR(IF(D66="","",VLOOKUP(D66,Members!$A$2:$C$16,3,FALSE())),"")</f>
        <v/>
      </c>
      <c r="G66" s="11"/>
      <c r="H66" s="11"/>
      <c r="I66" s="11"/>
      <c r="J66" s="11"/>
      <c r="K66" s="11"/>
      <c r="L66" s="11"/>
      <c r="M66" s="12"/>
      <c r="N66" s="12"/>
      <c r="O66" s="12"/>
      <c r="P66" s="12"/>
      <c r="Q66" s="12"/>
      <c r="R66" s="12"/>
      <c r="S66" s="13" t="str">
        <f aca="false">IF(COUNT(G66:L66)=0,"",SUM(G66:L66))</f>
        <v/>
      </c>
      <c r="T66" s="14" t="str">
        <f aca="false">IF(COUNT(M66:R66)=0,"",SUM(M66:R66))</f>
        <v/>
      </c>
      <c r="U66" s="9"/>
      <c r="V66" s="15"/>
      <c r="Y66" s="16" t="str">
        <f aca="false">IF(AND(A66="",B66="",D66="",COUNT(G66:L66)=0),"",IF(D66="","Missing shooter",IF(A66="","Missing date",IF(B66="","Missing event",IF(E66="","Club not in roster (type manually)",IF(COUNT(G66:L66)=0,"No scores entered",IF(U66="","Set status (official/provisional)",IF(COUNTIFS($A$2:$A$101,A66,$B$2:$B$101,B66,$D$2:$D$101,D66)&gt;1,"Duplicate entry","OK to upload"))))))))</f>
        <v/>
      </c>
    </row>
    <row r="67" customFormat="false" ht="15" hidden="false" customHeight="true" outlineLevel="0" collapsed="false">
      <c r="A67" s="8"/>
      <c r="B67" s="9"/>
      <c r="C67" s="9"/>
      <c r="D67" s="9"/>
      <c r="E67" s="10" t="str">
        <f aca="false">IFERROR(IF(D67="","",VLOOKUP(D67,Members!$A$2:$C$16,2,FALSE())),"")</f>
        <v/>
      </c>
      <c r="F67" s="10" t="str">
        <f aca="false">IFERROR(IF(D67="","",VLOOKUP(D67,Members!$A$2:$C$16,3,FALSE())),"")</f>
        <v/>
      </c>
      <c r="G67" s="11"/>
      <c r="H67" s="11"/>
      <c r="I67" s="11"/>
      <c r="J67" s="11"/>
      <c r="K67" s="11"/>
      <c r="L67" s="11"/>
      <c r="M67" s="12"/>
      <c r="N67" s="12"/>
      <c r="O67" s="12"/>
      <c r="P67" s="12"/>
      <c r="Q67" s="12"/>
      <c r="R67" s="12"/>
      <c r="S67" s="13" t="str">
        <f aca="false">IF(COUNT(G67:L67)=0,"",SUM(G67:L67))</f>
        <v/>
      </c>
      <c r="T67" s="14" t="str">
        <f aca="false">IF(COUNT(M67:R67)=0,"",SUM(M67:R67))</f>
        <v/>
      </c>
      <c r="U67" s="9"/>
      <c r="V67" s="15"/>
      <c r="Y67" s="16" t="str">
        <f aca="false">IF(AND(A67="",B67="",D67="",COUNT(G67:L67)=0),"",IF(D67="","Missing shooter",IF(A67="","Missing date",IF(B67="","Missing event",IF(E67="","Club not in roster (type manually)",IF(COUNT(G67:L67)=0,"No scores entered",IF(U67="","Set status (official/provisional)",IF(COUNTIFS($A$2:$A$101,A67,$B$2:$B$101,B67,$D$2:$D$101,D67)&gt;1,"Duplicate entry","OK to upload"))))))))</f>
        <v/>
      </c>
    </row>
    <row r="68" customFormat="false" ht="15" hidden="false" customHeight="true" outlineLevel="0" collapsed="false">
      <c r="A68" s="8"/>
      <c r="B68" s="9"/>
      <c r="C68" s="9"/>
      <c r="D68" s="9"/>
      <c r="E68" s="10" t="str">
        <f aca="false">IFERROR(IF(D68="","",VLOOKUP(D68,Members!$A$2:$C$16,2,FALSE())),"")</f>
        <v/>
      </c>
      <c r="F68" s="10" t="str">
        <f aca="false">IFERROR(IF(D68="","",VLOOKUP(D68,Members!$A$2:$C$16,3,FALSE())),"")</f>
        <v/>
      </c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13" t="str">
        <f aca="false">IF(COUNT(G68:L68)=0,"",SUM(G68:L68))</f>
        <v/>
      </c>
      <c r="T68" s="14" t="str">
        <f aca="false">IF(COUNT(M68:R68)=0,"",SUM(M68:R68))</f>
        <v/>
      </c>
      <c r="U68" s="9"/>
      <c r="V68" s="15"/>
      <c r="Y68" s="16" t="str">
        <f aca="false">IF(AND(A68="",B68="",D68="",COUNT(G68:L68)=0),"",IF(D68="","Missing shooter",IF(A68="","Missing date",IF(B68="","Missing event",IF(E68="","Club not in roster (type manually)",IF(COUNT(G68:L68)=0,"No scores entered",IF(U68="","Set status (official/provisional)",IF(COUNTIFS($A$2:$A$101,A68,$B$2:$B$101,B68,$D$2:$D$101,D68)&gt;1,"Duplicate entry","OK to upload"))))))))</f>
        <v/>
      </c>
    </row>
    <row r="69" customFormat="false" ht="15" hidden="false" customHeight="true" outlineLevel="0" collapsed="false">
      <c r="A69" s="8"/>
      <c r="B69" s="9"/>
      <c r="C69" s="9"/>
      <c r="D69" s="9"/>
      <c r="E69" s="10" t="str">
        <f aca="false">IFERROR(IF(D69="","",VLOOKUP(D69,Members!$A$2:$C$16,2,FALSE())),"")</f>
        <v/>
      </c>
      <c r="F69" s="10" t="str">
        <f aca="false">IFERROR(IF(D69="","",VLOOKUP(D69,Members!$A$2:$C$16,3,FALSE())),"")</f>
        <v/>
      </c>
      <c r="G69" s="11"/>
      <c r="H69" s="11"/>
      <c r="I69" s="11"/>
      <c r="J69" s="11"/>
      <c r="K69" s="11"/>
      <c r="L69" s="11"/>
      <c r="M69" s="12"/>
      <c r="N69" s="12"/>
      <c r="O69" s="12"/>
      <c r="P69" s="12"/>
      <c r="Q69" s="12"/>
      <c r="R69" s="12"/>
      <c r="S69" s="13" t="str">
        <f aca="false">IF(COUNT(G69:L69)=0,"",SUM(G69:L69))</f>
        <v/>
      </c>
      <c r="T69" s="14" t="str">
        <f aca="false">IF(COUNT(M69:R69)=0,"",SUM(M69:R69))</f>
        <v/>
      </c>
      <c r="U69" s="9"/>
      <c r="V69" s="15"/>
      <c r="Y69" s="16" t="str">
        <f aca="false">IF(AND(A69="",B69="",D69="",COUNT(G69:L69)=0),"",IF(D69="","Missing shooter",IF(A69="","Missing date",IF(B69="","Missing event",IF(E69="","Club not in roster (type manually)",IF(COUNT(G69:L69)=0,"No scores entered",IF(U69="","Set status (official/provisional)",IF(COUNTIFS($A$2:$A$101,A69,$B$2:$B$101,B69,$D$2:$D$101,D69)&gt;1,"Duplicate entry","OK to upload"))))))))</f>
        <v/>
      </c>
    </row>
    <row r="70" customFormat="false" ht="15" hidden="false" customHeight="true" outlineLevel="0" collapsed="false">
      <c r="A70" s="8"/>
      <c r="B70" s="9"/>
      <c r="C70" s="9"/>
      <c r="D70" s="9"/>
      <c r="E70" s="10" t="str">
        <f aca="false">IFERROR(IF(D70="","",VLOOKUP(D70,Members!$A$2:$C$16,2,FALSE())),"")</f>
        <v/>
      </c>
      <c r="F70" s="10" t="str">
        <f aca="false">IFERROR(IF(D70="","",VLOOKUP(D70,Members!$A$2:$C$16,3,FALSE())),"")</f>
        <v/>
      </c>
      <c r="G70" s="11"/>
      <c r="H70" s="11"/>
      <c r="I70" s="11"/>
      <c r="J70" s="11"/>
      <c r="K70" s="11"/>
      <c r="L70" s="11"/>
      <c r="M70" s="12"/>
      <c r="N70" s="12"/>
      <c r="O70" s="12"/>
      <c r="P70" s="12"/>
      <c r="Q70" s="12"/>
      <c r="R70" s="12"/>
      <c r="S70" s="13" t="str">
        <f aca="false">IF(COUNT(G70:L70)=0,"",SUM(G70:L70))</f>
        <v/>
      </c>
      <c r="T70" s="14" t="str">
        <f aca="false">IF(COUNT(M70:R70)=0,"",SUM(M70:R70))</f>
        <v/>
      </c>
      <c r="U70" s="9"/>
      <c r="V70" s="15"/>
      <c r="Y70" s="16" t="str">
        <f aca="false">IF(AND(A70="",B70="",D70="",COUNT(G70:L70)=0),"",IF(D70="","Missing shooter",IF(A70="","Missing date",IF(B70="","Missing event",IF(E70="","Club not in roster (type manually)",IF(COUNT(G70:L70)=0,"No scores entered",IF(U70="","Set status (official/provisional)",IF(COUNTIFS($A$2:$A$101,A70,$B$2:$B$101,B70,$D$2:$D$101,D70)&gt;1,"Duplicate entry","OK to upload"))))))))</f>
        <v/>
      </c>
    </row>
    <row r="71" customFormat="false" ht="15" hidden="false" customHeight="true" outlineLevel="0" collapsed="false">
      <c r="A71" s="8"/>
      <c r="B71" s="9"/>
      <c r="C71" s="9"/>
      <c r="D71" s="9"/>
      <c r="E71" s="10" t="str">
        <f aca="false">IFERROR(IF(D71="","",VLOOKUP(D71,Members!$A$2:$C$16,2,FALSE())),"")</f>
        <v/>
      </c>
      <c r="F71" s="10" t="str">
        <f aca="false">IFERROR(IF(D71="","",VLOOKUP(D71,Members!$A$2:$C$16,3,FALSE())),"")</f>
        <v/>
      </c>
      <c r="G71" s="11"/>
      <c r="H71" s="11"/>
      <c r="I71" s="11"/>
      <c r="J71" s="11"/>
      <c r="K71" s="11"/>
      <c r="L71" s="11"/>
      <c r="M71" s="12"/>
      <c r="N71" s="12"/>
      <c r="O71" s="12"/>
      <c r="P71" s="12"/>
      <c r="Q71" s="12"/>
      <c r="R71" s="12"/>
      <c r="S71" s="13" t="str">
        <f aca="false">IF(COUNT(G71:L71)=0,"",SUM(G71:L71))</f>
        <v/>
      </c>
      <c r="T71" s="14" t="str">
        <f aca="false">IF(COUNT(M71:R71)=0,"",SUM(M71:R71))</f>
        <v/>
      </c>
      <c r="U71" s="9"/>
      <c r="V71" s="15"/>
      <c r="Y71" s="16" t="str">
        <f aca="false">IF(AND(A71="",B71="",D71="",COUNT(G71:L71)=0),"",IF(D71="","Missing shooter",IF(A71="","Missing date",IF(B71="","Missing event",IF(E71="","Club not in roster (type manually)",IF(COUNT(G71:L71)=0,"No scores entered",IF(U71="","Set status (official/provisional)",IF(COUNTIFS($A$2:$A$101,A71,$B$2:$B$101,B71,$D$2:$D$101,D71)&gt;1,"Duplicate entry","OK to upload"))))))))</f>
        <v/>
      </c>
    </row>
    <row r="72" customFormat="false" ht="15" hidden="false" customHeight="true" outlineLevel="0" collapsed="false">
      <c r="A72" s="8"/>
      <c r="B72" s="9"/>
      <c r="C72" s="9"/>
      <c r="D72" s="9"/>
      <c r="E72" s="10" t="str">
        <f aca="false">IFERROR(IF(D72="","",VLOOKUP(D72,Members!$A$2:$C$16,2,FALSE())),"")</f>
        <v/>
      </c>
      <c r="F72" s="10" t="str">
        <f aca="false">IFERROR(IF(D72="","",VLOOKUP(D72,Members!$A$2:$C$16,3,FALSE())),"")</f>
        <v/>
      </c>
      <c r="G72" s="11"/>
      <c r="H72" s="11"/>
      <c r="I72" s="11"/>
      <c r="J72" s="11"/>
      <c r="K72" s="11"/>
      <c r="L72" s="11"/>
      <c r="M72" s="12"/>
      <c r="N72" s="12"/>
      <c r="O72" s="12"/>
      <c r="P72" s="12"/>
      <c r="Q72" s="12"/>
      <c r="R72" s="12"/>
      <c r="S72" s="13" t="str">
        <f aca="false">IF(COUNT(G72:L72)=0,"",SUM(G72:L72))</f>
        <v/>
      </c>
      <c r="T72" s="14" t="str">
        <f aca="false">IF(COUNT(M72:R72)=0,"",SUM(M72:R72))</f>
        <v/>
      </c>
      <c r="U72" s="9"/>
      <c r="V72" s="15"/>
      <c r="Y72" s="16" t="str">
        <f aca="false">IF(AND(A72="",B72="",D72="",COUNT(G72:L72)=0),"",IF(D72="","Missing shooter",IF(A72="","Missing date",IF(B72="","Missing event",IF(E72="","Club not in roster (type manually)",IF(COUNT(G72:L72)=0,"No scores entered",IF(U72="","Set status (official/provisional)",IF(COUNTIFS($A$2:$A$101,A72,$B$2:$B$101,B72,$D$2:$D$101,D72)&gt;1,"Duplicate entry","OK to upload"))))))))</f>
        <v/>
      </c>
    </row>
    <row r="73" customFormat="false" ht="15" hidden="false" customHeight="true" outlineLevel="0" collapsed="false">
      <c r="A73" s="8"/>
      <c r="B73" s="9"/>
      <c r="C73" s="9"/>
      <c r="D73" s="9"/>
      <c r="E73" s="10" t="str">
        <f aca="false">IFERROR(IF(D73="","",VLOOKUP(D73,Members!$A$2:$C$16,2,FALSE())),"")</f>
        <v/>
      </c>
      <c r="F73" s="10" t="str">
        <f aca="false">IFERROR(IF(D73="","",VLOOKUP(D73,Members!$A$2:$C$16,3,FALSE())),"")</f>
        <v/>
      </c>
      <c r="G73" s="11"/>
      <c r="H73" s="11"/>
      <c r="I73" s="11"/>
      <c r="J73" s="11"/>
      <c r="K73" s="11"/>
      <c r="L73" s="11"/>
      <c r="M73" s="12"/>
      <c r="N73" s="12"/>
      <c r="O73" s="12"/>
      <c r="P73" s="12"/>
      <c r="Q73" s="12"/>
      <c r="R73" s="12"/>
      <c r="S73" s="13" t="str">
        <f aca="false">IF(COUNT(G73:L73)=0,"",SUM(G73:L73))</f>
        <v/>
      </c>
      <c r="T73" s="14" t="str">
        <f aca="false">IF(COUNT(M73:R73)=0,"",SUM(M73:R73))</f>
        <v/>
      </c>
      <c r="U73" s="9"/>
      <c r="V73" s="15"/>
      <c r="Y73" s="16" t="str">
        <f aca="false">IF(AND(A73="",B73="",D73="",COUNT(G73:L73)=0),"",IF(D73="","Missing shooter",IF(A73="","Missing date",IF(B73="","Missing event",IF(E73="","Club not in roster (type manually)",IF(COUNT(G73:L73)=0,"No scores entered",IF(U73="","Set status (official/provisional)",IF(COUNTIFS($A$2:$A$101,A73,$B$2:$B$101,B73,$D$2:$D$101,D73)&gt;1,"Duplicate entry","OK to upload"))))))))</f>
        <v/>
      </c>
    </row>
    <row r="74" customFormat="false" ht="15" hidden="false" customHeight="true" outlineLevel="0" collapsed="false">
      <c r="A74" s="8"/>
      <c r="B74" s="9"/>
      <c r="C74" s="9"/>
      <c r="D74" s="9"/>
      <c r="E74" s="10" t="str">
        <f aca="false">IFERROR(IF(D74="","",VLOOKUP(D74,Members!$A$2:$C$16,2,FALSE())),"")</f>
        <v/>
      </c>
      <c r="F74" s="10" t="str">
        <f aca="false">IFERROR(IF(D74="","",VLOOKUP(D74,Members!$A$2:$C$16,3,FALSE())),"")</f>
        <v/>
      </c>
      <c r="G74" s="11"/>
      <c r="H74" s="11"/>
      <c r="I74" s="11"/>
      <c r="J74" s="11"/>
      <c r="K74" s="11"/>
      <c r="L74" s="11"/>
      <c r="M74" s="12"/>
      <c r="N74" s="12"/>
      <c r="O74" s="12"/>
      <c r="P74" s="12"/>
      <c r="Q74" s="12"/>
      <c r="R74" s="12"/>
      <c r="S74" s="13" t="str">
        <f aca="false">IF(COUNT(G74:L74)=0,"",SUM(G74:L74))</f>
        <v/>
      </c>
      <c r="T74" s="14" t="str">
        <f aca="false">IF(COUNT(M74:R74)=0,"",SUM(M74:R74))</f>
        <v/>
      </c>
      <c r="U74" s="9"/>
      <c r="V74" s="15"/>
      <c r="Y74" s="16" t="str">
        <f aca="false">IF(AND(A74="",B74="",D74="",COUNT(G74:L74)=0),"",IF(D74="","Missing shooter",IF(A74="","Missing date",IF(B74="","Missing event",IF(E74="","Club not in roster (type manually)",IF(COUNT(G74:L74)=0,"No scores entered",IF(U74="","Set status (official/provisional)",IF(COUNTIFS($A$2:$A$101,A74,$B$2:$B$101,B74,$D$2:$D$101,D74)&gt;1,"Duplicate entry","OK to upload"))))))))</f>
        <v/>
      </c>
    </row>
    <row r="75" customFormat="false" ht="15" hidden="false" customHeight="true" outlineLevel="0" collapsed="false">
      <c r="A75" s="8"/>
      <c r="B75" s="9"/>
      <c r="C75" s="9"/>
      <c r="D75" s="9"/>
      <c r="E75" s="10" t="str">
        <f aca="false">IFERROR(IF(D75="","",VLOOKUP(D75,Members!$A$2:$C$16,2,FALSE())),"")</f>
        <v/>
      </c>
      <c r="F75" s="10" t="str">
        <f aca="false">IFERROR(IF(D75="","",VLOOKUP(D75,Members!$A$2:$C$16,3,FALSE())),"")</f>
        <v/>
      </c>
      <c r="G75" s="11"/>
      <c r="H75" s="11"/>
      <c r="I75" s="11"/>
      <c r="J75" s="11"/>
      <c r="K75" s="11"/>
      <c r="L75" s="11"/>
      <c r="M75" s="12"/>
      <c r="N75" s="12"/>
      <c r="O75" s="12"/>
      <c r="P75" s="12"/>
      <c r="Q75" s="12"/>
      <c r="R75" s="12"/>
      <c r="S75" s="13" t="str">
        <f aca="false">IF(COUNT(G75:L75)=0,"",SUM(G75:L75))</f>
        <v/>
      </c>
      <c r="T75" s="14" t="str">
        <f aca="false">IF(COUNT(M75:R75)=0,"",SUM(M75:R75))</f>
        <v/>
      </c>
      <c r="U75" s="9"/>
      <c r="V75" s="15"/>
      <c r="Y75" s="16" t="str">
        <f aca="false">IF(AND(A75="",B75="",D75="",COUNT(G75:L75)=0),"",IF(D75="","Missing shooter",IF(A75="","Missing date",IF(B75="","Missing event",IF(E75="","Club not in roster (type manually)",IF(COUNT(G75:L75)=0,"No scores entered",IF(U75="","Set status (official/provisional)",IF(COUNTIFS($A$2:$A$101,A75,$B$2:$B$101,B75,$D$2:$D$101,D75)&gt;1,"Duplicate entry","OK to upload"))))))))</f>
        <v/>
      </c>
    </row>
    <row r="76" customFormat="false" ht="15" hidden="false" customHeight="true" outlineLevel="0" collapsed="false">
      <c r="A76" s="8"/>
      <c r="B76" s="9"/>
      <c r="C76" s="9"/>
      <c r="D76" s="9"/>
      <c r="E76" s="10" t="str">
        <f aca="false">IFERROR(IF(D76="","",VLOOKUP(D76,Members!$A$2:$C$16,2,FALSE())),"")</f>
        <v/>
      </c>
      <c r="F76" s="10" t="str">
        <f aca="false">IFERROR(IF(D76="","",VLOOKUP(D76,Members!$A$2:$C$16,3,FALSE())),"")</f>
        <v/>
      </c>
      <c r="G76" s="11"/>
      <c r="H76" s="11"/>
      <c r="I76" s="11"/>
      <c r="J76" s="11"/>
      <c r="K76" s="11"/>
      <c r="L76" s="11"/>
      <c r="M76" s="12"/>
      <c r="N76" s="12"/>
      <c r="O76" s="12"/>
      <c r="P76" s="12"/>
      <c r="Q76" s="12"/>
      <c r="R76" s="12"/>
      <c r="S76" s="13" t="str">
        <f aca="false">IF(COUNT(G76:L76)=0,"",SUM(G76:L76))</f>
        <v/>
      </c>
      <c r="T76" s="14" t="str">
        <f aca="false">IF(COUNT(M76:R76)=0,"",SUM(M76:R76))</f>
        <v/>
      </c>
      <c r="U76" s="9"/>
      <c r="V76" s="15"/>
      <c r="Y76" s="16" t="str">
        <f aca="false">IF(AND(A76="",B76="",D76="",COUNT(G76:L76)=0),"",IF(D76="","Missing shooter",IF(A76="","Missing date",IF(B76="","Missing event",IF(E76="","Club not in roster (type manually)",IF(COUNT(G76:L76)=0,"No scores entered",IF(U76="","Set status (official/provisional)",IF(COUNTIFS($A$2:$A$101,A76,$B$2:$B$101,B76,$D$2:$D$101,D76)&gt;1,"Duplicate entry","OK to upload"))))))))</f>
        <v/>
      </c>
    </row>
    <row r="77" customFormat="false" ht="15" hidden="false" customHeight="true" outlineLevel="0" collapsed="false">
      <c r="A77" s="8"/>
      <c r="B77" s="9"/>
      <c r="C77" s="9"/>
      <c r="D77" s="9"/>
      <c r="E77" s="10" t="str">
        <f aca="false">IFERROR(IF(D77="","",VLOOKUP(D77,Members!$A$2:$C$16,2,FALSE())),"")</f>
        <v/>
      </c>
      <c r="F77" s="10" t="str">
        <f aca="false">IFERROR(IF(D77="","",VLOOKUP(D77,Members!$A$2:$C$16,3,FALSE())),"")</f>
        <v/>
      </c>
      <c r="G77" s="11"/>
      <c r="H77" s="11"/>
      <c r="I77" s="11"/>
      <c r="J77" s="11"/>
      <c r="K77" s="11"/>
      <c r="L77" s="11"/>
      <c r="M77" s="12"/>
      <c r="N77" s="12"/>
      <c r="O77" s="12"/>
      <c r="P77" s="12"/>
      <c r="Q77" s="12"/>
      <c r="R77" s="12"/>
      <c r="S77" s="13" t="str">
        <f aca="false">IF(COUNT(G77:L77)=0,"",SUM(G77:L77))</f>
        <v/>
      </c>
      <c r="T77" s="14" t="str">
        <f aca="false">IF(COUNT(M77:R77)=0,"",SUM(M77:R77))</f>
        <v/>
      </c>
      <c r="U77" s="9"/>
      <c r="V77" s="15"/>
      <c r="Y77" s="16" t="str">
        <f aca="false">IF(AND(A77="",B77="",D77="",COUNT(G77:L77)=0),"",IF(D77="","Missing shooter",IF(A77="","Missing date",IF(B77="","Missing event",IF(E77="","Club not in roster (type manually)",IF(COUNT(G77:L77)=0,"No scores entered",IF(U77="","Set status (official/provisional)",IF(COUNTIFS($A$2:$A$101,A77,$B$2:$B$101,B77,$D$2:$D$101,D77)&gt;1,"Duplicate entry","OK to upload"))))))))</f>
        <v/>
      </c>
    </row>
    <row r="78" customFormat="false" ht="15" hidden="false" customHeight="true" outlineLevel="0" collapsed="false">
      <c r="A78" s="8"/>
      <c r="B78" s="9"/>
      <c r="C78" s="9"/>
      <c r="D78" s="9"/>
      <c r="E78" s="10" t="str">
        <f aca="false">IFERROR(IF(D78="","",VLOOKUP(D78,Members!$A$2:$C$16,2,FALSE())),"")</f>
        <v/>
      </c>
      <c r="F78" s="10" t="str">
        <f aca="false">IFERROR(IF(D78="","",VLOOKUP(D78,Members!$A$2:$C$16,3,FALSE())),"")</f>
        <v/>
      </c>
      <c r="G78" s="11"/>
      <c r="H78" s="11"/>
      <c r="I78" s="11"/>
      <c r="J78" s="11"/>
      <c r="K78" s="11"/>
      <c r="L78" s="11"/>
      <c r="M78" s="12"/>
      <c r="N78" s="12"/>
      <c r="O78" s="12"/>
      <c r="P78" s="12"/>
      <c r="Q78" s="12"/>
      <c r="R78" s="12"/>
      <c r="S78" s="13" t="str">
        <f aca="false">IF(COUNT(G78:L78)=0,"",SUM(G78:L78))</f>
        <v/>
      </c>
      <c r="T78" s="14" t="str">
        <f aca="false">IF(COUNT(M78:R78)=0,"",SUM(M78:R78))</f>
        <v/>
      </c>
      <c r="U78" s="9"/>
      <c r="V78" s="15"/>
      <c r="Y78" s="16" t="str">
        <f aca="false">IF(AND(A78="",B78="",D78="",COUNT(G78:L78)=0),"",IF(D78="","Missing shooter",IF(A78="","Missing date",IF(B78="","Missing event",IF(E78="","Club not in roster (type manually)",IF(COUNT(G78:L78)=0,"No scores entered",IF(U78="","Set status (official/provisional)",IF(COUNTIFS($A$2:$A$101,A78,$B$2:$B$101,B78,$D$2:$D$101,D78)&gt;1,"Duplicate entry","OK to upload"))))))))</f>
        <v/>
      </c>
    </row>
    <row r="79" customFormat="false" ht="15" hidden="false" customHeight="true" outlineLevel="0" collapsed="false">
      <c r="A79" s="8"/>
      <c r="B79" s="9"/>
      <c r="C79" s="9"/>
      <c r="D79" s="9"/>
      <c r="E79" s="10" t="str">
        <f aca="false">IFERROR(IF(D79="","",VLOOKUP(D79,Members!$A$2:$C$16,2,FALSE())),"")</f>
        <v/>
      </c>
      <c r="F79" s="10" t="str">
        <f aca="false">IFERROR(IF(D79="","",VLOOKUP(D79,Members!$A$2:$C$16,3,FALSE())),"")</f>
        <v/>
      </c>
      <c r="G79" s="11"/>
      <c r="H79" s="11"/>
      <c r="I79" s="11"/>
      <c r="J79" s="11"/>
      <c r="K79" s="11"/>
      <c r="L79" s="11"/>
      <c r="M79" s="12"/>
      <c r="N79" s="12"/>
      <c r="O79" s="12"/>
      <c r="P79" s="12"/>
      <c r="Q79" s="12"/>
      <c r="R79" s="12"/>
      <c r="S79" s="13" t="str">
        <f aca="false">IF(COUNT(G79:L79)=0,"",SUM(G79:L79))</f>
        <v/>
      </c>
      <c r="T79" s="14" t="str">
        <f aca="false">IF(COUNT(M79:R79)=0,"",SUM(M79:R79))</f>
        <v/>
      </c>
      <c r="U79" s="9"/>
      <c r="V79" s="15"/>
      <c r="Y79" s="16" t="str">
        <f aca="false">IF(AND(A79="",B79="",D79="",COUNT(G79:L79)=0),"",IF(D79="","Missing shooter",IF(A79="","Missing date",IF(B79="","Missing event",IF(E79="","Club not in roster (type manually)",IF(COUNT(G79:L79)=0,"No scores entered",IF(U79="","Set status (official/provisional)",IF(COUNTIFS($A$2:$A$101,A79,$B$2:$B$101,B79,$D$2:$D$101,D79)&gt;1,"Duplicate entry","OK to upload"))))))))</f>
        <v/>
      </c>
    </row>
    <row r="80" customFormat="false" ht="15" hidden="false" customHeight="true" outlineLevel="0" collapsed="false">
      <c r="A80" s="8"/>
      <c r="B80" s="9"/>
      <c r="C80" s="9"/>
      <c r="D80" s="9"/>
      <c r="E80" s="10" t="str">
        <f aca="false">IFERROR(IF(D80="","",VLOOKUP(D80,Members!$A$2:$C$16,2,FALSE())),"")</f>
        <v/>
      </c>
      <c r="F80" s="10" t="str">
        <f aca="false">IFERROR(IF(D80="","",VLOOKUP(D80,Members!$A$2:$C$16,3,FALSE())),"")</f>
        <v/>
      </c>
      <c r="G80" s="11"/>
      <c r="H80" s="11"/>
      <c r="I80" s="11"/>
      <c r="J80" s="11"/>
      <c r="K80" s="11"/>
      <c r="L80" s="11"/>
      <c r="M80" s="12"/>
      <c r="N80" s="12"/>
      <c r="O80" s="12"/>
      <c r="P80" s="12"/>
      <c r="Q80" s="12"/>
      <c r="R80" s="12"/>
      <c r="S80" s="13" t="str">
        <f aca="false">IF(COUNT(G80:L80)=0,"",SUM(G80:L80))</f>
        <v/>
      </c>
      <c r="T80" s="14" t="str">
        <f aca="false">IF(COUNT(M80:R80)=0,"",SUM(M80:R80))</f>
        <v/>
      </c>
      <c r="U80" s="9"/>
      <c r="V80" s="15"/>
      <c r="Y80" s="16" t="str">
        <f aca="false">IF(AND(A80="",B80="",D80="",COUNT(G80:L80)=0),"",IF(D80="","Missing shooter",IF(A80="","Missing date",IF(B80="","Missing event",IF(E80="","Club not in roster (type manually)",IF(COUNT(G80:L80)=0,"No scores entered",IF(U80="","Set status (official/provisional)",IF(COUNTIFS($A$2:$A$101,A80,$B$2:$B$101,B80,$D$2:$D$101,D80)&gt;1,"Duplicate entry","OK to upload"))))))))</f>
        <v/>
      </c>
    </row>
    <row r="81" customFormat="false" ht="15" hidden="false" customHeight="true" outlineLevel="0" collapsed="false">
      <c r="A81" s="8"/>
      <c r="B81" s="9"/>
      <c r="C81" s="9"/>
      <c r="D81" s="9"/>
      <c r="E81" s="10" t="str">
        <f aca="false">IFERROR(IF(D81="","",VLOOKUP(D81,Members!$A$2:$C$16,2,FALSE())),"")</f>
        <v/>
      </c>
      <c r="F81" s="10" t="str">
        <f aca="false">IFERROR(IF(D81="","",VLOOKUP(D81,Members!$A$2:$C$16,3,FALSE())),"")</f>
        <v/>
      </c>
      <c r="G81" s="11"/>
      <c r="H81" s="11"/>
      <c r="I81" s="11"/>
      <c r="J81" s="11"/>
      <c r="K81" s="11"/>
      <c r="L81" s="11"/>
      <c r="M81" s="12"/>
      <c r="N81" s="12"/>
      <c r="O81" s="12"/>
      <c r="P81" s="12"/>
      <c r="Q81" s="12"/>
      <c r="R81" s="12"/>
      <c r="S81" s="13" t="str">
        <f aca="false">IF(COUNT(G81:L81)=0,"",SUM(G81:L81))</f>
        <v/>
      </c>
      <c r="T81" s="14" t="str">
        <f aca="false">IF(COUNT(M81:R81)=0,"",SUM(M81:R81))</f>
        <v/>
      </c>
      <c r="U81" s="9"/>
      <c r="V81" s="15"/>
      <c r="Y81" s="16" t="str">
        <f aca="false">IF(AND(A81="",B81="",D81="",COUNT(G81:L81)=0),"",IF(D81="","Missing shooter",IF(A81="","Missing date",IF(B81="","Missing event",IF(E81="","Club not in roster (type manually)",IF(COUNT(G81:L81)=0,"No scores entered",IF(U81="","Set status (official/provisional)",IF(COUNTIFS($A$2:$A$101,A81,$B$2:$B$101,B81,$D$2:$D$101,D81)&gt;1,"Duplicate entry","OK to upload"))))))))</f>
        <v/>
      </c>
    </row>
    <row r="82" customFormat="false" ht="15" hidden="false" customHeight="true" outlineLevel="0" collapsed="false">
      <c r="A82" s="8"/>
      <c r="B82" s="9"/>
      <c r="C82" s="9"/>
      <c r="D82" s="9"/>
      <c r="E82" s="10" t="str">
        <f aca="false">IFERROR(IF(D82="","",VLOOKUP(D82,Members!$A$2:$C$16,2,FALSE())),"")</f>
        <v/>
      </c>
      <c r="F82" s="10" t="str">
        <f aca="false">IFERROR(IF(D82="","",VLOOKUP(D82,Members!$A$2:$C$16,3,FALSE())),"")</f>
        <v/>
      </c>
      <c r="G82" s="11"/>
      <c r="H82" s="11"/>
      <c r="I82" s="11"/>
      <c r="J82" s="11"/>
      <c r="K82" s="11"/>
      <c r="L82" s="11"/>
      <c r="M82" s="12"/>
      <c r="N82" s="12"/>
      <c r="O82" s="12"/>
      <c r="P82" s="12"/>
      <c r="Q82" s="12"/>
      <c r="R82" s="12"/>
      <c r="S82" s="13" t="str">
        <f aca="false">IF(COUNT(G82:L82)=0,"",SUM(G82:L82))</f>
        <v/>
      </c>
      <c r="T82" s="14" t="str">
        <f aca="false">IF(COUNT(M82:R82)=0,"",SUM(M82:R82))</f>
        <v/>
      </c>
      <c r="U82" s="9"/>
      <c r="V82" s="15"/>
      <c r="Y82" s="16" t="str">
        <f aca="false">IF(AND(A82="",B82="",D82="",COUNT(G82:L82)=0),"",IF(D82="","Missing shooter",IF(A82="","Missing date",IF(B82="","Missing event",IF(E82="","Club not in roster (type manually)",IF(COUNT(G82:L82)=0,"No scores entered",IF(U82="","Set status (official/provisional)",IF(COUNTIFS($A$2:$A$101,A82,$B$2:$B$101,B82,$D$2:$D$101,D82)&gt;1,"Duplicate entry","OK to upload"))))))))</f>
        <v/>
      </c>
    </row>
    <row r="83" customFormat="false" ht="15" hidden="false" customHeight="true" outlineLevel="0" collapsed="false">
      <c r="A83" s="8"/>
      <c r="B83" s="9"/>
      <c r="C83" s="9"/>
      <c r="D83" s="9"/>
      <c r="E83" s="10" t="str">
        <f aca="false">IFERROR(IF(D83="","",VLOOKUP(D83,Members!$A$2:$C$16,2,FALSE())),"")</f>
        <v/>
      </c>
      <c r="F83" s="10" t="str">
        <f aca="false">IFERROR(IF(D83="","",VLOOKUP(D83,Members!$A$2:$C$16,3,FALSE())),"")</f>
        <v/>
      </c>
      <c r="G83" s="11"/>
      <c r="H83" s="11"/>
      <c r="I83" s="11"/>
      <c r="J83" s="11"/>
      <c r="K83" s="11"/>
      <c r="L83" s="11"/>
      <c r="M83" s="12"/>
      <c r="N83" s="12"/>
      <c r="O83" s="12"/>
      <c r="P83" s="12"/>
      <c r="Q83" s="12"/>
      <c r="R83" s="12"/>
      <c r="S83" s="13" t="str">
        <f aca="false">IF(COUNT(G83:L83)=0,"",SUM(G83:L83))</f>
        <v/>
      </c>
      <c r="T83" s="14" t="str">
        <f aca="false">IF(COUNT(M83:R83)=0,"",SUM(M83:R83))</f>
        <v/>
      </c>
      <c r="U83" s="9"/>
      <c r="V83" s="15"/>
      <c r="Y83" s="16" t="str">
        <f aca="false">IF(AND(A83="",B83="",D83="",COUNT(G83:L83)=0),"",IF(D83="","Missing shooter",IF(A83="","Missing date",IF(B83="","Missing event",IF(E83="","Club not in roster (type manually)",IF(COUNT(G83:L83)=0,"No scores entered",IF(U83="","Set status (official/provisional)",IF(COUNTIFS($A$2:$A$101,A83,$B$2:$B$101,B83,$D$2:$D$101,D83)&gt;1,"Duplicate entry","OK to upload"))))))))</f>
        <v/>
      </c>
    </row>
    <row r="84" customFormat="false" ht="15" hidden="false" customHeight="true" outlineLevel="0" collapsed="false">
      <c r="A84" s="8"/>
      <c r="B84" s="9"/>
      <c r="C84" s="9"/>
      <c r="D84" s="9"/>
      <c r="E84" s="10" t="str">
        <f aca="false">IFERROR(IF(D84="","",VLOOKUP(D84,Members!$A$2:$C$16,2,FALSE())),"")</f>
        <v/>
      </c>
      <c r="F84" s="10" t="str">
        <f aca="false">IFERROR(IF(D84="","",VLOOKUP(D84,Members!$A$2:$C$16,3,FALSE())),"")</f>
        <v/>
      </c>
      <c r="G84" s="11"/>
      <c r="H84" s="11"/>
      <c r="I84" s="11"/>
      <c r="J84" s="11"/>
      <c r="K84" s="11"/>
      <c r="L84" s="11"/>
      <c r="M84" s="12"/>
      <c r="N84" s="12"/>
      <c r="O84" s="12"/>
      <c r="P84" s="12"/>
      <c r="Q84" s="12"/>
      <c r="R84" s="12"/>
      <c r="S84" s="13" t="str">
        <f aca="false">IF(COUNT(G84:L84)=0,"",SUM(G84:L84))</f>
        <v/>
      </c>
      <c r="T84" s="14" t="str">
        <f aca="false">IF(COUNT(M84:R84)=0,"",SUM(M84:R84))</f>
        <v/>
      </c>
      <c r="U84" s="9"/>
      <c r="V84" s="15"/>
      <c r="Y84" s="16" t="str">
        <f aca="false">IF(AND(A84="",B84="",D84="",COUNT(G84:L84)=0),"",IF(D84="","Missing shooter",IF(A84="","Missing date",IF(B84="","Missing event",IF(E84="","Club not in roster (type manually)",IF(COUNT(G84:L84)=0,"No scores entered",IF(U84="","Set status (official/provisional)",IF(COUNTIFS($A$2:$A$101,A84,$B$2:$B$101,B84,$D$2:$D$101,D84)&gt;1,"Duplicate entry","OK to upload"))))))))</f>
        <v/>
      </c>
    </row>
    <row r="85" customFormat="false" ht="15" hidden="false" customHeight="true" outlineLevel="0" collapsed="false">
      <c r="A85" s="8"/>
      <c r="B85" s="9"/>
      <c r="C85" s="9"/>
      <c r="D85" s="9"/>
      <c r="E85" s="10" t="str">
        <f aca="false">IFERROR(IF(D85="","",VLOOKUP(D85,Members!$A$2:$C$16,2,FALSE())),"")</f>
        <v/>
      </c>
      <c r="F85" s="10" t="str">
        <f aca="false">IFERROR(IF(D85="","",VLOOKUP(D85,Members!$A$2:$C$16,3,FALSE())),"")</f>
        <v/>
      </c>
      <c r="G85" s="11"/>
      <c r="H85" s="11"/>
      <c r="I85" s="11"/>
      <c r="J85" s="11"/>
      <c r="K85" s="11"/>
      <c r="L85" s="11"/>
      <c r="M85" s="12"/>
      <c r="N85" s="12"/>
      <c r="O85" s="12"/>
      <c r="P85" s="12"/>
      <c r="Q85" s="12"/>
      <c r="R85" s="12"/>
      <c r="S85" s="13" t="str">
        <f aca="false">IF(COUNT(G85:L85)=0,"",SUM(G85:L85))</f>
        <v/>
      </c>
      <c r="T85" s="14" t="str">
        <f aca="false">IF(COUNT(M85:R85)=0,"",SUM(M85:R85))</f>
        <v/>
      </c>
      <c r="U85" s="9"/>
      <c r="V85" s="15"/>
      <c r="Y85" s="16" t="str">
        <f aca="false">IF(AND(A85="",B85="",D85="",COUNT(G85:L85)=0),"",IF(D85="","Missing shooter",IF(A85="","Missing date",IF(B85="","Missing event",IF(E85="","Club not in roster (type manually)",IF(COUNT(G85:L85)=0,"No scores entered",IF(U85="","Set status (official/provisional)",IF(COUNTIFS($A$2:$A$101,A85,$B$2:$B$101,B85,$D$2:$D$101,D85)&gt;1,"Duplicate entry","OK to upload"))))))))</f>
        <v/>
      </c>
    </row>
    <row r="86" customFormat="false" ht="15" hidden="false" customHeight="true" outlineLevel="0" collapsed="false">
      <c r="A86" s="8"/>
      <c r="B86" s="9"/>
      <c r="C86" s="9"/>
      <c r="D86" s="9"/>
      <c r="E86" s="10" t="str">
        <f aca="false">IFERROR(IF(D86="","",VLOOKUP(D86,Members!$A$2:$C$16,2,FALSE())),"")</f>
        <v/>
      </c>
      <c r="F86" s="10" t="str">
        <f aca="false">IFERROR(IF(D86="","",VLOOKUP(D86,Members!$A$2:$C$16,3,FALSE())),"")</f>
        <v/>
      </c>
      <c r="G86" s="11"/>
      <c r="H86" s="11"/>
      <c r="I86" s="11"/>
      <c r="J86" s="11"/>
      <c r="K86" s="11"/>
      <c r="L86" s="11"/>
      <c r="M86" s="12"/>
      <c r="N86" s="12"/>
      <c r="O86" s="12"/>
      <c r="P86" s="12"/>
      <c r="Q86" s="12"/>
      <c r="R86" s="12"/>
      <c r="S86" s="13" t="str">
        <f aca="false">IF(COUNT(G86:L86)=0,"",SUM(G86:L86))</f>
        <v/>
      </c>
      <c r="T86" s="14" t="str">
        <f aca="false">IF(COUNT(M86:R86)=0,"",SUM(M86:R86))</f>
        <v/>
      </c>
      <c r="U86" s="9"/>
      <c r="V86" s="15"/>
      <c r="Y86" s="16" t="str">
        <f aca="false">IF(AND(A86="",B86="",D86="",COUNT(G86:L86)=0),"",IF(D86="","Missing shooter",IF(A86="","Missing date",IF(B86="","Missing event",IF(E86="","Club not in roster (type manually)",IF(COUNT(G86:L86)=0,"No scores entered",IF(U86="","Set status (official/provisional)",IF(COUNTIFS($A$2:$A$101,A86,$B$2:$B$101,B86,$D$2:$D$101,D86)&gt;1,"Duplicate entry","OK to upload"))))))))</f>
        <v/>
      </c>
    </row>
    <row r="87" customFormat="false" ht="15" hidden="false" customHeight="true" outlineLevel="0" collapsed="false">
      <c r="A87" s="8"/>
      <c r="B87" s="9"/>
      <c r="C87" s="9"/>
      <c r="D87" s="9"/>
      <c r="E87" s="10" t="str">
        <f aca="false">IFERROR(IF(D87="","",VLOOKUP(D87,Members!$A$2:$C$16,2,FALSE())),"")</f>
        <v/>
      </c>
      <c r="F87" s="10" t="str">
        <f aca="false">IFERROR(IF(D87="","",VLOOKUP(D87,Members!$A$2:$C$16,3,FALSE())),"")</f>
        <v/>
      </c>
      <c r="G87" s="11"/>
      <c r="H87" s="11"/>
      <c r="I87" s="11"/>
      <c r="J87" s="11"/>
      <c r="K87" s="11"/>
      <c r="L87" s="11"/>
      <c r="M87" s="12"/>
      <c r="N87" s="12"/>
      <c r="O87" s="12"/>
      <c r="P87" s="12"/>
      <c r="Q87" s="12"/>
      <c r="R87" s="12"/>
      <c r="S87" s="13" t="str">
        <f aca="false">IF(COUNT(G87:L87)=0,"",SUM(G87:L87))</f>
        <v/>
      </c>
      <c r="T87" s="14" t="str">
        <f aca="false">IF(COUNT(M87:R87)=0,"",SUM(M87:R87))</f>
        <v/>
      </c>
      <c r="U87" s="9"/>
      <c r="V87" s="15"/>
      <c r="Y87" s="16" t="str">
        <f aca="false">IF(AND(A87="",B87="",D87="",COUNT(G87:L87)=0),"",IF(D87="","Missing shooter",IF(A87="","Missing date",IF(B87="","Missing event",IF(E87="","Club not in roster (type manually)",IF(COUNT(G87:L87)=0,"No scores entered",IF(U87="","Set status (official/provisional)",IF(COUNTIFS($A$2:$A$101,A87,$B$2:$B$101,B87,$D$2:$D$101,D87)&gt;1,"Duplicate entry","OK to upload"))))))))</f>
        <v/>
      </c>
    </row>
    <row r="88" customFormat="false" ht="15" hidden="false" customHeight="true" outlineLevel="0" collapsed="false">
      <c r="A88" s="8"/>
      <c r="B88" s="9"/>
      <c r="C88" s="9"/>
      <c r="D88" s="9"/>
      <c r="E88" s="10" t="str">
        <f aca="false">IFERROR(IF(D88="","",VLOOKUP(D88,Members!$A$2:$C$16,2,FALSE())),"")</f>
        <v/>
      </c>
      <c r="F88" s="10" t="str">
        <f aca="false">IFERROR(IF(D88="","",VLOOKUP(D88,Members!$A$2:$C$16,3,FALSE())),"")</f>
        <v/>
      </c>
      <c r="G88" s="11"/>
      <c r="H88" s="11"/>
      <c r="I88" s="11"/>
      <c r="J88" s="11"/>
      <c r="K88" s="11"/>
      <c r="L88" s="11"/>
      <c r="M88" s="12"/>
      <c r="N88" s="12"/>
      <c r="O88" s="12"/>
      <c r="P88" s="12"/>
      <c r="Q88" s="12"/>
      <c r="R88" s="12"/>
      <c r="S88" s="13" t="str">
        <f aca="false">IF(COUNT(G88:L88)=0,"",SUM(G88:L88))</f>
        <v/>
      </c>
      <c r="T88" s="14" t="str">
        <f aca="false">IF(COUNT(M88:R88)=0,"",SUM(M88:R88))</f>
        <v/>
      </c>
      <c r="U88" s="9"/>
      <c r="V88" s="15"/>
      <c r="Y88" s="16" t="str">
        <f aca="false">IF(AND(A88="",B88="",D88="",COUNT(G88:L88)=0),"",IF(D88="","Missing shooter",IF(A88="","Missing date",IF(B88="","Missing event",IF(E88="","Club not in roster (type manually)",IF(COUNT(G88:L88)=0,"No scores entered",IF(U88="","Set status (official/provisional)",IF(COUNTIFS($A$2:$A$101,A88,$B$2:$B$101,B88,$D$2:$D$101,D88)&gt;1,"Duplicate entry","OK to upload"))))))))</f>
        <v/>
      </c>
    </row>
    <row r="89" customFormat="false" ht="15" hidden="false" customHeight="true" outlineLevel="0" collapsed="false">
      <c r="A89" s="8"/>
      <c r="B89" s="9"/>
      <c r="C89" s="9"/>
      <c r="D89" s="9"/>
      <c r="E89" s="10" t="str">
        <f aca="false">IFERROR(IF(D89="","",VLOOKUP(D89,Members!$A$2:$C$16,2,FALSE())),"")</f>
        <v/>
      </c>
      <c r="F89" s="10" t="str">
        <f aca="false">IFERROR(IF(D89="","",VLOOKUP(D89,Members!$A$2:$C$16,3,FALSE())),"")</f>
        <v/>
      </c>
      <c r="G89" s="11"/>
      <c r="H89" s="11"/>
      <c r="I89" s="11"/>
      <c r="J89" s="11"/>
      <c r="K89" s="11"/>
      <c r="L89" s="11"/>
      <c r="M89" s="12"/>
      <c r="N89" s="12"/>
      <c r="O89" s="12"/>
      <c r="P89" s="12"/>
      <c r="Q89" s="12"/>
      <c r="R89" s="12"/>
      <c r="S89" s="13" t="str">
        <f aca="false">IF(COUNT(G89:L89)=0,"",SUM(G89:L89))</f>
        <v/>
      </c>
      <c r="T89" s="14" t="str">
        <f aca="false">IF(COUNT(M89:R89)=0,"",SUM(M89:R89))</f>
        <v/>
      </c>
      <c r="U89" s="9"/>
      <c r="V89" s="15"/>
      <c r="Y89" s="16" t="str">
        <f aca="false">IF(AND(A89="",B89="",D89="",COUNT(G89:L89)=0),"",IF(D89="","Missing shooter",IF(A89="","Missing date",IF(B89="","Missing event",IF(E89="","Club not in roster (type manually)",IF(COUNT(G89:L89)=0,"No scores entered",IF(U89="","Set status (official/provisional)",IF(COUNTIFS($A$2:$A$101,A89,$B$2:$B$101,B89,$D$2:$D$101,D89)&gt;1,"Duplicate entry","OK to upload"))))))))</f>
        <v/>
      </c>
    </row>
    <row r="90" customFormat="false" ht="15" hidden="false" customHeight="true" outlineLevel="0" collapsed="false">
      <c r="A90" s="8"/>
      <c r="B90" s="9"/>
      <c r="C90" s="9"/>
      <c r="D90" s="9"/>
      <c r="E90" s="10" t="str">
        <f aca="false">IFERROR(IF(D90="","",VLOOKUP(D90,Members!$A$2:$C$16,2,FALSE())),"")</f>
        <v/>
      </c>
      <c r="F90" s="10" t="str">
        <f aca="false">IFERROR(IF(D90="","",VLOOKUP(D90,Members!$A$2:$C$16,3,FALSE())),"")</f>
        <v/>
      </c>
      <c r="G90" s="11"/>
      <c r="H90" s="11"/>
      <c r="I90" s="11"/>
      <c r="J90" s="11"/>
      <c r="K90" s="11"/>
      <c r="L90" s="11"/>
      <c r="M90" s="12"/>
      <c r="N90" s="12"/>
      <c r="O90" s="12"/>
      <c r="P90" s="12"/>
      <c r="Q90" s="12"/>
      <c r="R90" s="12"/>
      <c r="S90" s="13" t="str">
        <f aca="false">IF(COUNT(G90:L90)=0,"",SUM(G90:L90))</f>
        <v/>
      </c>
      <c r="T90" s="14" t="str">
        <f aca="false">IF(COUNT(M90:R90)=0,"",SUM(M90:R90))</f>
        <v/>
      </c>
      <c r="U90" s="9"/>
      <c r="V90" s="15"/>
      <c r="Y90" s="16" t="str">
        <f aca="false">IF(AND(A90="",B90="",D90="",COUNT(G90:L90)=0),"",IF(D90="","Missing shooter",IF(A90="","Missing date",IF(B90="","Missing event",IF(E90="","Club not in roster (type manually)",IF(COUNT(G90:L90)=0,"No scores entered",IF(U90="","Set status (official/provisional)",IF(COUNTIFS($A$2:$A$101,A90,$B$2:$B$101,B90,$D$2:$D$101,D90)&gt;1,"Duplicate entry","OK to upload"))))))))</f>
        <v/>
      </c>
    </row>
    <row r="91" customFormat="false" ht="15" hidden="false" customHeight="true" outlineLevel="0" collapsed="false">
      <c r="A91" s="8"/>
      <c r="B91" s="9"/>
      <c r="C91" s="9"/>
      <c r="D91" s="9"/>
      <c r="E91" s="10" t="str">
        <f aca="false">IFERROR(IF(D91="","",VLOOKUP(D91,Members!$A$2:$C$16,2,FALSE())),"")</f>
        <v/>
      </c>
      <c r="F91" s="10" t="str">
        <f aca="false">IFERROR(IF(D91="","",VLOOKUP(D91,Members!$A$2:$C$16,3,FALSE())),"")</f>
        <v/>
      </c>
      <c r="G91" s="11"/>
      <c r="H91" s="11"/>
      <c r="I91" s="11"/>
      <c r="J91" s="11"/>
      <c r="K91" s="11"/>
      <c r="L91" s="11"/>
      <c r="M91" s="12"/>
      <c r="N91" s="12"/>
      <c r="O91" s="12"/>
      <c r="P91" s="12"/>
      <c r="Q91" s="12"/>
      <c r="R91" s="12"/>
      <c r="S91" s="13" t="str">
        <f aca="false">IF(COUNT(G91:L91)=0,"",SUM(G91:L91))</f>
        <v/>
      </c>
      <c r="T91" s="14" t="str">
        <f aca="false">IF(COUNT(M91:R91)=0,"",SUM(M91:R91))</f>
        <v/>
      </c>
      <c r="U91" s="9"/>
      <c r="V91" s="15"/>
      <c r="Y91" s="16" t="str">
        <f aca="false">IF(AND(A91="",B91="",D91="",COUNT(G91:L91)=0),"",IF(D91="","Missing shooter",IF(A91="","Missing date",IF(B91="","Missing event",IF(E91="","Club not in roster (type manually)",IF(COUNT(G91:L91)=0,"No scores entered",IF(U91="","Set status (official/provisional)",IF(COUNTIFS($A$2:$A$101,A91,$B$2:$B$101,B91,$D$2:$D$101,D91)&gt;1,"Duplicate entry","OK to upload"))))))))</f>
        <v/>
      </c>
    </row>
    <row r="92" customFormat="false" ht="15" hidden="false" customHeight="true" outlineLevel="0" collapsed="false">
      <c r="A92" s="8"/>
      <c r="B92" s="9"/>
      <c r="C92" s="9"/>
      <c r="D92" s="9"/>
      <c r="E92" s="10" t="str">
        <f aca="false">IFERROR(IF(D92="","",VLOOKUP(D92,Members!$A$2:$C$16,2,FALSE())),"")</f>
        <v/>
      </c>
      <c r="F92" s="10" t="str">
        <f aca="false">IFERROR(IF(D92="","",VLOOKUP(D92,Members!$A$2:$C$16,3,FALSE())),"")</f>
        <v/>
      </c>
      <c r="G92" s="11"/>
      <c r="H92" s="11"/>
      <c r="I92" s="11"/>
      <c r="J92" s="11"/>
      <c r="K92" s="11"/>
      <c r="L92" s="11"/>
      <c r="M92" s="12"/>
      <c r="N92" s="12"/>
      <c r="O92" s="12"/>
      <c r="P92" s="12"/>
      <c r="Q92" s="12"/>
      <c r="R92" s="12"/>
      <c r="S92" s="13" t="str">
        <f aca="false">IF(COUNT(G92:L92)=0,"",SUM(G92:L92))</f>
        <v/>
      </c>
      <c r="T92" s="14" t="str">
        <f aca="false">IF(COUNT(M92:R92)=0,"",SUM(M92:R92))</f>
        <v/>
      </c>
      <c r="U92" s="9"/>
      <c r="V92" s="15"/>
      <c r="Y92" s="16" t="str">
        <f aca="false">IF(AND(A92="",B92="",D92="",COUNT(G92:L92)=0),"",IF(D92="","Missing shooter",IF(A92="","Missing date",IF(B92="","Missing event",IF(E92="","Club not in roster (type manually)",IF(COUNT(G92:L92)=0,"No scores entered",IF(U92="","Set status (official/provisional)",IF(COUNTIFS($A$2:$A$101,A92,$B$2:$B$101,B92,$D$2:$D$101,D92)&gt;1,"Duplicate entry","OK to upload"))))))))</f>
        <v/>
      </c>
    </row>
    <row r="93" customFormat="false" ht="15" hidden="false" customHeight="true" outlineLevel="0" collapsed="false">
      <c r="A93" s="8"/>
      <c r="B93" s="9"/>
      <c r="C93" s="9"/>
      <c r="D93" s="9"/>
      <c r="E93" s="10" t="str">
        <f aca="false">IFERROR(IF(D93="","",VLOOKUP(D93,Members!$A$2:$C$16,2,FALSE())),"")</f>
        <v/>
      </c>
      <c r="F93" s="10" t="str">
        <f aca="false">IFERROR(IF(D93="","",VLOOKUP(D93,Members!$A$2:$C$16,3,FALSE())),"")</f>
        <v/>
      </c>
      <c r="G93" s="11"/>
      <c r="H93" s="11"/>
      <c r="I93" s="11"/>
      <c r="J93" s="11"/>
      <c r="K93" s="11"/>
      <c r="L93" s="11"/>
      <c r="M93" s="12"/>
      <c r="N93" s="12"/>
      <c r="O93" s="12"/>
      <c r="P93" s="12"/>
      <c r="Q93" s="12"/>
      <c r="R93" s="12"/>
      <c r="S93" s="13" t="str">
        <f aca="false">IF(COUNT(G93:L93)=0,"",SUM(G93:L93))</f>
        <v/>
      </c>
      <c r="T93" s="14" t="str">
        <f aca="false">IF(COUNT(M93:R93)=0,"",SUM(M93:R93))</f>
        <v/>
      </c>
      <c r="U93" s="9"/>
      <c r="V93" s="15"/>
      <c r="Y93" s="16" t="str">
        <f aca="false">IF(AND(A93="",B93="",D93="",COUNT(G93:L93)=0),"",IF(D93="","Missing shooter",IF(A93="","Missing date",IF(B93="","Missing event",IF(E93="","Club not in roster (type manually)",IF(COUNT(G93:L93)=0,"No scores entered",IF(U93="","Set status (official/provisional)",IF(COUNTIFS($A$2:$A$101,A93,$B$2:$B$101,B93,$D$2:$D$101,D93)&gt;1,"Duplicate entry","OK to upload"))))))))</f>
        <v/>
      </c>
    </row>
    <row r="94" customFormat="false" ht="15" hidden="false" customHeight="true" outlineLevel="0" collapsed="false">
      <c r="A94" s="8"/>
      <c r="B94" s="9"/>
      <c r="C94" s="9"/>
      <c r="D94" s="9"/>
      <c r="E94" s="10" t="str">
        <f aca="false">IFERROR(IF(D94="","",VLOOKUP(D94,Members!$A$2:$C$16,2,FALSE())),"")</f>
        <v/>
      </c>
      <c r="F94" s="10" t="str">
        <f aca="false">IFERROR(IF(D94="","",VLOOKUP(D94,Members!$A$2:$C$16,3,FALSE())),"")</f>
        <v/>
      </c>
      <c r="G94" s="11"/>
      <c r="H94" s="11"/>
      <c r="I94" s="11"/>
      <c r="J94" s="11"/>
      <c r="K94" s="11"/>
      <c r="L94" s="11"/>
      <c r="M94" s="12"/>
      <c r="N94" s="12"/>
      <c r="O94" s="12"/>
      <c r="P94" s="12"/>
      <c r="Q94" s="12"/>
      <c r="R94" s="12"/>
      <c r="S94" s="13" t="str">
        <f aca="false">IF(COUNT(G94:L94)=0,"",SUM(G94:L94))</f>
        <v/>
      </c>
      <c r="T94" s="14" t="str">
        <f aca="false">IF(COUNT(M94:R94)=0,"",SUM(M94:R94))</f>
        <v/>
      </c>
      <c r="U94" s="9"/>
      <c r="V94" s="15"/>
      <c r="Y94" s="16" t="str">
        <f aca="false">IF(AND(A94="",B94="",D94="",COUNT(G94:L94)=0),"",IF(D94="","Missing shooter",IF(A94="","Missing date",IF(B94="","Missing event",IF(E94="","Club not in roster (type manually)",IF(COUNT(G94:L94)=0,"No scores entered",IF(U94="","Set status (official/provisional)",IF(COUNTIFS($A$2:$A$101,A94,$B$2:$B$101,B94,$D$2:$D$101,D94)&gt;1,"Duplicate entry","OK to upload"))))))))</f>
        <v/>
      </c>
    </row>
    <row r="95" customFormat="false" ht="15" hidden="false" customHeight="true" outlineLevel="0" collapsed="false">
      <c r="A95" s="8"/>
      <c r="B95" s="9"/>
      <c r="C95" s="9"/>
      <c r="D95" s="9"/>
      <c r="E95" s="10" t="str">
        <f aca="false">IFERROR(IF(D95="","",VLOOKUP(D95,Members!$A$2:$C$16,2,FALSE())),"")</f>
        <v/>
      </c>
      <c r="F95" s="10" t="str">
        <f aca="false">IFERROR(IF(D95="","",VLOOKUP(D95,Members!$A$2:$C$16,3,FALSE())),"")</f>
        <v/>
      </c>
      <c r="G95" s="11"/>
      <c r="H95" s="11"/>
      <c r="I95" s="11"/>
      <c r="J95" s="11"/>
      <c r="K95" s="11"/>
      <c r="L95" s="11"/>
      <c r="M95" s="12"/>
      <c r="N95" s="12"/>
      <c r="O95" s="12"/>
      <c r="P95" s="12"/>
      <c r="Q95" s="12"/>
      <c r="R95" s="12"/>
      <c r="S95" s="13" t="str">
        <f aca="false">IF(COUNT(G95:L95)=0,"",SUM(G95:L95))</f>
        <v/>
      </c>
      <c r="T95" s="14" t="str">
        <f aca="false">IF(COUNT(M95:R95)=0,"",SUM(M95:R95))</f>
        <v/>
      </c>
      <c r="U95" s="9"/>
      <c r="V95" s="15"/>
      <c r="Y95" s="16" t="str">
        <f aca="false">IF(AND(A95="",B95="",D95="",COUNT(G95:L95)=0),"",IF(D95="","Missing shooter",IF(A95="","Missing date",IF(B95="","Missing event",IF(E95="","Club not in roster (type manually)",IF(COUNT(G95:L95)=0,"No scores entered",IF(U95="","Set status (official/provisional)",IF(COUNTIFS($A$2:$A$101,A95,$B$2:$B$101,B95,$D$2:$D$101,D95)&gt;1,"Duplicate entry","OK to upload"))))))))</f>
        <v/>
      </c>
    </row>
    <row r="96" customFormat="false" ht="15" hidden="false" customHeight="true" outlineLevel="0" collapsed="false">
      <c r="A96" s="8"/>
      <c r="B96" s="9"/>
      <c r="C96" s="9"/>
      <c r="D96" s="9"/>
      <c r="E96" s="10" t="str">
        <f aca="false">IFERROR(IF(D96="","",VLOOKUP(D96,Members!$A$2:$C$16,2,FALSE())),"")</f>
        <v/>
      </c>
      <c r="F96" s="10" t="str">
        <f aca="false">IFERROR(IF(D96="","",VLOOKUP(D96,Members!$A$2:$C$16,3,FALSE())),"")</f>
        <v/>
      </c>
      <c r="G96" s="11"/>
      <c r="H96" s="11"/>
      <c r="I96" s="11"/>
      <c r="J96" s="11"/>
      <c r="K96" s="11"/>
      <c r="L96" s="11"/>
      <c r="M96" s="12"/>
      <c r="N96" s="12"/>
      <c r="O96" s="12"/>
      <c r="P96" s="12"/>
      <c r="Q96" s="12"/>
      <c r="R96" s="12"/>
      <c r="S96" s="13" t="str">
        <f aca="false">IF(COUNT(G96:L96)=0,"",SUM(G96:L96))</f>
        <v/>
      </c>
      <c r="T96" s="14" t="str">
        <f aca="false">IF(COUNT(M96:R96)=0,"",SUM(M96:R96))</f>
        <v/>
      </c>
      <c r="U96" s="9"/>
      <c r="V96" s="15"/>
      <c r="Y96" s="16" t="str">
        <f aca="false">IF(AND(A96="",B96="",D96="",COUNT(G96:L96)=0),"",IF(D96="","Missing shooter",IF(A96="","Missing date",IF(B96="","Missing event",IF(E96="","Club not in roster (type manually)",IF(COUNT(G96:L96)=0,"No scores entered",IF(U96="","Set status (official/provisional)",IF(COUNTIFS($A$2:$A$101,A96,$B$2:$B$101,B96,$D$2:$D$101,D96)&gt;1,"Duplicate entry","OK to upload"))))))))</f>
        <v/>
      </c>
    </row>
    <row r="97" customFormat="false" ht="15" hidden="false" customHeight="true" outlineLevel="0" collapsed="false">
      <c r="A97" s="8"/>
      <c r="B97" s="9"/>
      <c r="C97" s="9"/>
      <c r="D97" s="9"/>
      <c r="E97" s="10" t="str">
        <f aca="false">IFERROR(IF(D97="","",VLOOKUP(D97,Members!$A$2:$C$16,2,FALSE())),"")</f>
        <v/>
      </c>
      <c r="F97" s="10" t="str">
        <f aca="false">IFERROR(IF(D97="","",VLOOKUP(D97,Members!$A$2:$C$16,3,FALSE())),"")</f>
        <v/>
      </c>
      <c r="G97" s="11"/>
      <c r="H97" s="11"/>
      <c r="I97" s="11"/>
      <c r="J97" s="11"/>
      <c r="K97" s="11"/>
      <c r="L97" s="11"/>
      <c r="M97" s="12"/>
      <c r="N97" s="12"/>
      <c r="O97" s="12"/>
      <c r="P97" s="12"/>
      <c r="Q97" s="12"/>
      <c r="R97" s="12"/>
      <c r="S97" s="13" t="str">
        <f aca="false">IF(COUNT(G97:L97)=0,"",SUM(G97:L97))</f>
        <v/>
      </c>
      <c r="T97" s="14" t="str">
        <f aca="false">IF(COUNT(M97:R97)=0,"",SUM(M97:R97))</f>
        <v/>
      </c>
      <c r="U97" s="9"/>
      <c r="V97" s="15"/>
      <c r="Y97" s="16" t="str">
        <f aca="false">IF(AND(A97="",B97="",D97="",COUNT(G97:L97)=0),"",IF(D97="","Missing shooter",IF(A97="","Missing date",IF(B97="","Missing event",IF(E97="","Club not in roster (type manually)",IF(COUNT(G97:L97)=0,"No scores entered",IF(U97="","Set status (official/provisional)",IF(COUNTIFS($A$2:$A$101,A97,$B$2:$B$101,B97,$D$2:$D$101,D97)&gt;1,"Duplicate entry","OK to upload"))))))))</f>
        <v/>
      </c>
    </row>
    <row r="98" customFormat="false" ht="15" hidden="false" customHeight="true" outlineLevel="0" collapsed="false">
      <c r="A98" s="8"/>
      <c r="B98" s="9"/>
      <c r="C98" s="9"/>
      <c r="D98" s="9"/>
      <c r="E98" s="10" t="str">
        <f aca="false">IFERROR(IF(D98="","",VLOOKUP(D98,Members!$A$2:$C$16,2,FALSE())),"")</f>
        <v/>
      </c>
      <c r="F98" s="10" t="str">
        <f aca="false">IFERROR(IF(D98="","",VLOOKUP(D98,Members!$A$2:$C$16,3,FALSE())),"")</f>
        <v/>
      </c>
      <c r="G98" s="11"/>
      <c r="H98" s="11"/>
      <c r="I98" s="11"/>
      <c r="J98" s="11"/>
      <c r="K98" s="11"/>
      <c r="L98" s="11"/>
      <c r="M98" s="12"/>
      <c r="N98" s="12"/>
      <c r="O98" s="12"/>
      <c r="P98" s="12"/>
      <c r="Q98" s="12"/>
      <c r="R98" s="12"/>
      <c r="S98" s="13" t="str">
        <f aca="false">IF(COUNT(G98:L98)=0,"",SUM(G98:L98))</f>
        <v/>
      </c>
      <c r="T98" s="14" t="str">
        <f aca="false">IF(COUNT(M98:R98)=0,"",SUM(M98:R98))</f>
        <v/>
      </c>
      <c r="U98" s="9"/>
      <c r="V98" s="15"/>
      <c r="Y98" s="16" t="str">
        <f aca="false">IF(AND(A98="",B98="",D98="",COUNT(G98:L98)=0),"",IF(D98="","Missing shooter",IF(A98="","Missing date",IF(B98="","Missing event",IF(E98="","Club not in roster (type manually)",IF(COUNT(G98:L98)=0,"No scores entered",IF(U98="","Set status (official/provisional)",IF(COUNTIFS($A$2:$A$101,A98,$B$2:$B$101,B98,$D$2:$D$101,D98)&gt;1,"Duplicate entry","OK to upload"))))))))</f>
        <v/>
      </c>
    </row>
    <row r="99" customFormat="false" ht="15" hidden="false" customHeight="true" outlineLevel="0" collapsed="false">
      <c r="A99" s="8"/>
      <c r="B99" s="9"/>
      <c r="C99" s="9"/>
      <c r="D99" s="9"/>
      <c r="E99" s="10" t="str">
        <f aca="false">IFERROR(IF(D99="","",VLOOKUP(D99,Members!$A$2:$C$16,2,FALSE())),"")</f>
        <v/>
      </c>
      <c r="F99" s="10" t="str">
        <f aca="false">IFERROR(IF(D99="","",VLOOKUP(D99,Members!$A$2:$C$16,3,FALSE())),"")</f>
        <v/>
      </c>
      <c r="G99" s="11"/>
      <c r="H99" s="11"/>
      <c r="I99" s="11"/>
      <c r="J99" s="11"/>
      <c r="K99" s="11"/>
      <c r="L99" s="11"/>
      <c r="M99" s="12"/>
      <c r="N99" s="12"/>
      <c r="O99" s="12"/>
      <c r="P99" s="12"/>
      <c r="Q99" s="12"/>
      <c r="R99" s="12"/>
      <c r="S99" s="13" t="str">
        <f aca="false">IF(COUNT(G99:L99)=0,"",SUM(G99:L99))</f>
        <v/>
      </c>
      <c r="T99" s="14" t="str">
        <f aca="false">IF(COUNT(M99:R99)=0,"",SUM(M99:R99))</f>
        <v/>
      </c>
      <c r="U99" s="9"/>
      <c r="V99" s="15"/>
      <c r="Y99" s="16" t="str">
        <f aca="false">IF(AND(A99="",B99="",D99="",COUNT(G99:L99)=0),"",IF(D99="","Missing shooter",IF(A99="","Missing date",IF(B99="","Missing event",IF(E99="","Club not in roster (type manually)",IF(COUNT(G99:L99)=0,"No scores entered",IF(U99="","Set status (official/provisional)",IF(COUNTIFS($A$2:$A$101,A99,$B$2:$B$101,B99,$D$2:$D$101,D99)&gt;1,"Duplicate entry","OK to upload"))))))))</f>
        <v/>
      </c>
    </row>
    <row r="100" customFormat="false" ht="15" hidden="false" customHeight="true" outlineLevel="0" collapsed="false">
      <c r="A100" s="8"/>
      <c r="B100" s="9"/>
      <c r="C100" s="9"/>
      <c r="D100" s="9"/>
      <c r="E100" s="10" t="str">
        <f aca="false">IFERROR(IF(D100="","",VLOOKUP(D100,Members!$A$2:$C$16,2,FALSE())),"")</f>
        <v/>
      </c>
      <c r="F100" s="10" t="str">
        <f aca="false">IFERROR(IF(D100="","",VLOOKUP(D100,Members!$A$2:$C$16,3,FALSE())),"")</f>
        <v/>
      </c>
      <c r="G100" s="11"/>
      <c r="H100" s="11"/>
      <c r="I100" s="11"/>
      <c r="J100" s="11"/>
      <c r="K100" s="11"/>
      <c r="L100" s="11"/>
      <c r="M100" s="12"/>
      <c r="N100" s="12"/>
      <c r="O100" s="12"/>
      <c r="P100" s="12"/>
      <c r="Q100" s="12"/>
      <c r="R100" s="12"/>
      <c r="S100" s="13" t="str">
        <f aca="false">IF(COUNT(G100:L100)=0,"",SUM(G100:L100))</f>
        <v/>
      </c>
      <c r="T100" s="14" t="str">
        <f aca="false">IF(COUNT(M100:R100)=0,"",SUM(M100:R100))</f>
        <v/>
      </c>
      <c r="U100" s="9"/>
      <c r="V100" s="15"/>
      <c r="Y100" s="16" t="str">
        <f aca="false">IF(AND(A100="",B100="",D100="",COUNT(G100:L100)=0),"",IF(D100="","Missing shooter",IF(A100="","Missing date",IF(B100="","Missing event",IF(E100="","Club not in roster (type manually)",IF(COUNT(G100:L100)=0,"No scores entered",IF(U100="","Set status (official/provisional)",IF(COUNTIFS($A$2:$A$101,A100,$B$2:$B$101,B100,$D$2:$D$101,D100)&gt;1,"Duplicate entry","OK to upload"))))))))</f>
        <v/>
      </c>
    </row>
    <row r="101" customFormat="false" ht="15" hidden="false" customHeight="true" outlineLevel="0" collapsed="false">
      <c r="A101" s="8"/>
      <c r="B101" s="9"/>
      <c r="C101" s="9"/>
      <c r="D101" s="9"/>
      <c r="E101" s="10" t="str">
        <f aca="false">IFERROR(IF(D101="","",VLOOKUP(D101,Members!$A$2:$C$16,2,FALSE())),"")</f>
        <v/>
      </c>
      <c r="F101" s="10" t="str">
        <f aca="false">IFERROR(IF(D101="","",VLOOKUP(D101,Members!$A$2:$C$16,3,FALSE())),"")</f>
        <v/>
      </c>
      <c r="G101" s="11"/>
      <c r="H101" s="11"/>
      <c r="I101" s="11"/>
      <c r="J101" s="11"/>
      <c r="K101" s="11"/>
      <c r="L101" s="11"/>
      <c r="M101" s="12"/>
      <c r="N101" s="12"/>
      <c r="O101" s="12"/>
      <c r="P101" s="12"/>
      <c r="Q101" s="12"/>
      <c r="R101" s="12"/>
      <c r="S101" s="13" t="str">
        <f aca="false">IF(COUNT(G101:L101)=0,"",SUM(G101:L101))</f>
        <v/>
      </c>
      <c r="T101" s="14" t="str">
        <f aca="false">IF(COUNT(M101:R101)=0,"",SUM(M101:R101))</f>
        <v/>
      </c>
      <c r="U101" s="9"/>
      <c r="V101" s="15"/>
      <c r="Y101" s="16" t="str">
        <f aca="false">IF(AND(A101="",B101="",D101="",COUNT(G101:L101)=0),"",IF(D101="","Missing shooter",IF(A101="","Missing date",IF(B101="","Missing event",IF(E101="","Club not in roster (type manually)",IF(COUNT(G101:L101)=0,"No scores entered",IF(U101="","Set status (official/provisional)",IF(COUNTIFS($A$2:$A$101,A101,$B$2:$B$101,B101,$D$2:$D$101,D101)&gt;1,"Duplicate entry","OK to upload"))))))))</f>
        <v/>
      </c>
    </row>
  </sheetData>
  <conditionalFormatting sqref="A2:Y101">
    <cfRule type="expression" priority="2" aboveAverage="0" equalAverage="0" bottom="0" percent="0" rank="0" text="" dxfId="0">
      <formula>$Y2="OK to upload"</formula>
    </cfRule>
    <cfRule type="expression" priority="3" aboveAverage="0" equalAverage="0" bottom="0" percent="0" rank="0" text="" dxfId="1">
      <formula>AND($Y2&lt;&gt;"",$Y2&lt;&gt;"OK to upload")</formula>
    </cfRule>
  </conditionalFormatting>
  <dataValidations count="8">
    <dataValidation allowBlank="true" error="A 10-shot decimal series cannot exceed 109.0" errorStyle="stop" errorTitle="Too high" operator="lessThanOrEqual" showDropDown="false" showErrorMessage="true" showInputMessage="false" sqref="G2:L101" type="decimal">
      <formula1>109</formula1>
      <formula2>0</formula2>
    </dataValidation>
    <dataValidation allowBlank="true" error="Ring total per series max 100" errorStyle="stop" errorTitle="Too high" operator="lessThanOrEqual" showDropDown="false" showErrorMessage="true" showInputMessage="false" sqref="M2:R101" type="whole">
      <formula1>100</formula1>
      <formula2>0</formula2>
    </dataValidation>
    <dataValidation allowBlank="true" errorStyle="stop" operator="between" showDropDown="false" showErrorMessage="false" showInputMessage="false" sqref="C2:C101" type="list">
      <formula1>"fclass_open,fclass_tr"</formula1>
      <formula2>0</formula2>
    </dataValidation>
    <dataValidation allowBlank="true" errorStyle="stop" operator="between" showDropDown="false" showErrorMessage="false" showInputMessage="false" sqref="D2:D101" type="list">
      <formula1>Members!$A$2:$A$16</formula1>
      <formula2>0</formula2>
    </dataValidation>
    <dataValidation allowBlank="true" errorStyle="stop" operator="between" showDropDown="false" showErrorMessage="false" showInputMessage="false" sqref="E2:E101" type="list">
      <formula1>"Modderbee,SATRF Club,Pretoria RC,Bloem Marksmen,Cape Rifle Club"</formula1>
      <formula2>0</formula2>
    </dataValidation>
    <dataValidation allowBlank="true" errorStyle="stop" operator="between" showDropDown="false" showErrorMessage="false" showInputMessage="false" sqref="F2:F101" type="list">
      <formula1>"open,junior,veteran,ladies"</formula1>
      <formula2>0</formula2>
    </dataValidation>
    <dataValidation allowBlank="true" errorStyle="stop" operator="between" showDropDown="false" showErrorMessage="false" showInputMessage="false" sqref="U2:U101" type="list">
      <formula1>"official,provisional"</formula1>
      <formula2>0</formula2>
    </dataValidation>
    <dataValidation allowBlank="true" errorStyle="stop" operator="between" showDropDown="false" showErrorMessage="false" showInputMessage="false" sqref="A2:A101" type="list">
      <formula1>Dates!$A$1:$A$730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2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12" min="7" style="1" width="13"/>
    <col collapsed="false" customWidth="true" hidden="false" outlineLevel="0" max="14" min="13" style="1" width="11"/>
    <col collapsed="false" customWidth="true" hidden="false" outlineLevel="0" max="15" min="15" style="1" width="12"/>
    <col collapsed="false" customWidth="true" hidden="false" outlineLevel="0" max="16" min="16" style="1" width="28"/>
    <col collapsed="false" customWidth="true" hidden="false" outlineLevel="0" max="19" min="19" style="1" width="26"/>
  </cols>
  <sheetData>
    <row r="1" customFormat="false" ht="30" hidden="false" customHeight="tru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64</v>
      </c>
      <c r="H1" s="6" t="s">
        <v>65</v>
      </c>
      <c r="I1" s="6" t="s">
        <v>66</v>
      </c>
      <c r="J1" s="6" t="s">
        <v>67</v>
      </c>
      <c r="K1" s="6" t="s">
        <v>68</v>
      </c>
      <c r="L1" s="6" t="s">
        <v>69</v>
      </c>
      <c r="M1" s="6" t="s">
        <v>46</v>
      </c>
      <c r="N1" s="6" t="s">
        <v>47</v>
      </c>
      <c r="O1" s="6" t="s">
        <v>24</v>
      </c>
      <c r="P1" s="6" t="s">
        <v>48</v>
      </c>
      <c r="R1" s="7" t="s">
        <v>70</v>
      </c>
      <c r="S1" s="6" t="s">
        <v>49</v>
      </c>
    </row>
    <row r="2" customFormat="false" ht="15" hidden="false" customHeight="true" outlineLevel="0" collapsed="false">
      <c r="A2" s="8" t="s">
        <v>71</v>
      </c>
      <c r="B2" s="9" t="s">
        <v>72</v>
      </c>
      <c r="C2" s="9" t="s">
        <v>73</v>
      </c>
      <c r="D2" s="9" t="s">
        <v>74</v>
      </c>
      <c r="E2" s="10" t="str">
        <f aca="false">IFERROR(IF(D2="","",VLOOKUP(D2,Members!$A$2:$C$16,2,FALSE())),"")</f>
        <v>SATRF Club</v>
      </c>
      <c r="F2" s="10" t="str">
        <f aca="false">IFERROR(IF(D2="","",VLOOKUP(D2,Members!$A$2:$C$16,3,FALSE())),"")</f>
        <v>junior</v>
      </c>
      <c r="G2" s="11" t="n">
        <v>203.4</v>
      </c>
      <c r="H2" s="11" t="n">
        <v>210.1</v>
      </c>
      <c r="I2" s="11" t="n">
        <v>196.8</v>
      </c>
      <c r="J2" s="12" t="n">
        <v>188</v>
      </c>
      <c r="K2" s="12" t="n">
        <v>196</v>
      </c>
      <c r="L2" s="12" t="n">
        <v>182</v>
      </c>
      <c r="M2" s="13" t="n">
        <f aca="false">IF(COUNT(G2:I2)=0,"",SUM(G2:I2))</f>
        <v>610.3</v>
      </c>
      <c r="N2" s="14" t="n">
        <f aca="false">IF(COUNT(J2:L2)=0,"",SUM(J2:L2))</f>
        <v>566</v>
      </c>
      <c r="O2" s="9" t="s">
        <v>54</v>
      </c>
      <c r="P2" s="15" t="s">
        <v>75</v>
      </c>
      <c r="S2" s="16" t="str">
        <f aca="false">IF(AND(A2="",B2="",D2="",COUNT(G2:I2)=0),"",IF(D2="","Missing shooter",IF(A2="","Missing date",IF(B2="","Missing event",IF(E2="","Club not in roster (type manually)",IF(COUNT(G2:I2)=0,"No scores entered",IF(O2="","Set status (official/provisional)",IF(COUNTIFS($A$2:$A$101,A2,$B$2:$B$101,B2,$D$2:$D$101,D2)&gt;1,"Duplicate entry","OK to upload"))))))))</f>
        <v>OK to upload</v>
      </c>
    </row>
    <row r="3" customFormat="false" ht="15" hidden="false" customHeight="true" outlineLevel="0" collapsed="false">
      <c r="A3" s="8"/>
      <c r="B3" s="9"/>
      <c r="C3" s="9"/>
      <c r="D3" s="9"/>
      <c r="E3" s="10" t="str">
        <f aca="false">IFERROR(IF(D3="","",VLOOKUP(D3,Members!$A$2:$C$16,2,FALSE())),"")</f>
        <v/>
      </c>
      <c r="F3" s="10" t="str">
        <f aca="false">IFERROR(IF(D3="","",VLOOKUP(D3,Members!$A$2:$C$16,3,FALSE())),"")</f>
        <v/>
      </c>
      <c r="G3" s="11"/>
      <c r="H3" s="11"/>
      <c r="I3" s="11"/>
      <c r="J3" s="12"/>
      <c r="K3" s="12"/>
      <c r="L3" s="12"/>
      <c r="M3" s="13" t="str">
        <f aca="false">IF(COUNT(G3:I3)=0,"",SUM(G3:I3))</f>
        <v/>
      </c>
      <c r="N3" s="14" t="str">
        <f aca="false">IF(COUNT(J3:L3)=0,"",SUM(J3:L3))</f>
        <v/>
      </c>
      <c r="O3" s="9"/>
      <c r="P3" s="15"/>
      <c r="S3" s="16" t="str">
        <f aca="false">IF(AND(A3="",B3="",D3="",COUNT(G3:I3)=0),"",IF(D3="","Missing shooter",IF(A3="","Missing date",IF(B3="","Missing event",IF(E3="","Club not in roster (type manually)",IF(COUNT(G3:I3)=0,"No scores entered",IF(O3="","Set status (official/provisional)",IF(COUNTIFS($A$2:$A$101,A3,$B$2:$B$101,B3,$D$2:$D$101,D3)&gt;1,"Duplicate entry","OK to upload"))))))))</f>
        <v/>
      </c>
    </row>
    <row r="4" customFormat="false" ht="15" hidden="false" customHeight="true" outlineLevel="0" collapsed="false">
      <c r="A4" s="8"/>
      <c r="B4" s="9"/>
      <c r="C4" s="9"/>
      <c r="D4" s="9"/>
      <c r="E4" s="10" t="str">
        <f aca="false">IFERROR(IF(D4="","",VLOOKUP(D4,Members!$A$2:$C$16,2,FALSE())),"")</f>
        <v/>
      </c>
      <c r="F4" s="10" t="str">
        <f aca="false">IFERROR(IF(D4="","",VLOOKUP(D4,Members!$A$2:$C$16,3,FALSE())),"")</f>
        <v/>
      </c>
      <c r="G4" s="11"/>
      <c r="H4" s="11"/>
      <c r="I4" s="11"/>
      <c r="J4" s="12"/>
      <c r="K4" s="12"/>
      <c r="L4" s="12"/>
      <c r="M4" s="13" t="str">
        <f aca="false">IF(COUNT(G4:I4)=0,"",SUM(G4:I4))</f>
        <v/>
      </c>
      <c r="N4" s="14" t="str">
        <f aca="false">IF(COUNT(J4:L4)=0,"",SUM(J4:L4))</f>
        <v/>
      </c>
      <c r="O4" s="9"/>
      <c r="P4" s="15"/>
      <c r="S4" s="16" t="str">
        <f aca="false">IF(AND(A4="",B4="",D4="",COUNT(G4:I4)=0),"",IF(D4="","Missing shooter",IF(A4="","Missing date",IF(B4="","Missing event",IF(E4="","Club not in roster (type manually)",IF(COUNT(G4:I4)=0,"No scores entered",IF(O4="","Set status (official/provisional)",IF(COUNTIFS($A$2:$A$101,A4,$B$2:$B$101,B4,$D$2:$D$101,D4)&gt;1,"Duplicate entry","OK to upload"))))))))</f>
        <v/>
      </c>
    </row>
    <row r="5" customFormat="false" ht="15" hidden="false" customHeight="true" outlineLevel="0" collapsed="false">
      <c r="A5" s="8"/>
      <c r="B5" s="9"/>
      <c r="C5" s="9"/>
      <c r="D5" s="9"/>
      <c r="E5" s="10" t="str">
        <f aca="false">IFERROR(IF(D5="","",VLOOKUP(D5,Members!$A$2:$C$16,2,FALSE())),"")</f>
        <v/>
      </c>
      <c r="F5" s="10" t="str">
        <f aca="false">IFERROR(IF(D5="","",VLOOKUP(D5,Members!$A$2:$C$16,3,FALSE())),"")</f>
        <v/>
      </c>
      <c r="G5" s="11"/>
      <c r="H5" s="11"/>
      <c r="I5" s="11"/>
      <c r="J5" s="12"/>
      <c r="K5" s="12"/>
      <c r="L5" s="12"/>
      <c r="M5" s="13" t="str">
        <f aca="false">IF(COUNT(G5:I5)=0,"",SUM(G5:I5))</f>
        <v/>
      </c>
      <c r="N5" s="14" t="str">
        <f aca="false">IF(COUNT(J5:L5)=0,"",SUM(J5:L5))</f>
        <v/>
      </c>
      <c r="O5" s="9"/>
      <c r="P5" s="15"/>
      <c r="S5" s="16" t="str">
        <f aca="false">IF(AND(A5="",B5="",D5="",COUNT(G5:I5)=0),"",IF(D5="","Missing shooter",IF(A5="","Missing date",IF(B5="","Missing event",IF(E5="","Club not in roster (type manually)",IF(COUNT(G5:I5)=0,"No scores entered",IF(O5="","Set status (official/provisional)",IF(COUNTIFS($A$2:$A$101,A5,$B$2:$B$101,B5,$D$2:$D$101,D5)&gt;1,"Duplicate entry","OK to upload"))))))))</f>
        <v/>
      </c>
    </row>
    <row r="6" customFormat="false" ht="15" hidden="false" customHeight="true" outlineLevel="0" collapsed="false">
      <c r="A6" s="8"/>
      <c r="B6" s="9"/>
      <c r="C6" s="9"/>
      <c r="D6" s="9"/>
      <c r="E6" s="10" t="str">
        <f aca="false">IFERROR(IF(D6="","",VLOOKUP(D6,Members!$A$2:$C$16,2,FALSE())),"")</f>
        <v/>
      </c>
      <c r="F6" s="10" t="str">
        <f aca="false">IFERROR(IF(D6="","",VLOOKUP(D6,Members!$A$2:$C$16,3,FALSE())),"")</f>
        <v/>
      </c>
      <c r="G6" s="11"/>
      <c r="H6" s="11"/>
      <c r="I6" s="11"/>
      <c r="J6" s="12"/>
      <c r="K6" s="12"/>
      <c r="L6" s="12"/>
      <c r="M6" s="13" t="str">
        <f aca="false">IF(COUNT(G6:I6)=0,"",SUM(G6:I6))</f>
        <v/>
      </c>
      <c r="N6" s="14" t="str">
        <f aca="false">IF(COUNT(J6:L6)=0,"",SUM(J6:L6))</f>
        <v/>
      </c>
      <c r="O6" s="9"/>
      <c r="P6" s="15"/>
      <c r="S6" s="16" t="str">
        <f aca="false">IF(AND(A6="",B6="",D6="",COUNT(G6:I6)=0),"",IF(D6="","Missing shooter",IF(A6="","Missing date",IF(B6="","Missing event",IF(E6="","Club not in roster (type manually)",IF(COUNT(G6:I6)=0,"No scores entered",IF(O6="","Set status (official/provisional)",IF(COUNTIFS($A$2:$A$101,A6,$B$2:$B$101,B6,$D$2:$D$101,D6)&gt;1,"Duplicate entry","OK to upload"))))))))</f>
        <v/>
      </c>
    </row>
    <row r="7" customFormat="false" ht="15" hidden="false" customHeight="true" outlineLevel="0" collapsed="false">
      <c r="A7" s="8"/>
      <c r="B7" s="9"/>
      <c r="C7" s="9"/>
      <c r="D7" s="9"/>
      <c r="E7" s="10" t="str">
        <f aca="false">IFERROR(IF(D7="","",VLOOKUP(D7,Members!$A$2:$C$16,2,FALSE())),"")</f>
        <v/>
      </c>
      <c r="F7" s="10" t="str">
        <f aca="false">IFERROR(IF(D7="","",VLOOKUP(D7,Members!$A$2:$C$16,3,FALSE())),"")</f>
        <v/>
      </c>
      <c r="G7" s="11"/>
      <c r="H7" s="11"/>
      <c r="I7" s="11"/>
      <c r="J7" s="12"/>
      <c r="K7" s="12"/>
      <c r="L7" s="12"/>
      <c r="M7" s="13" t="str">
        <f aca="false">IF(COUNT(G7:I7)=0,"",SUM(G7:I7))</f>
        <v/>
      </c>
      <c r="N7" s="14" t="str">
        <f aca="false">IF(COUNT(J7:L7)=0,"",SUM(J7:L7))</f>
        <v/>
      </c>
      <c r="O7" s="9"/>
      <c r="P7" s="15"/>
      <c r="S7" s="16" t="str">
        <f aca="false">IF(AND(A7="",B7="",D7="",COUNT(G7:I7)=0),"",IF(D7="","Missing shooter",IF(A7="","Missing date",IF(B7="","Missing event",IF(E7="","Club not in roster (type manually)",IF(COUNT(G7:I7)=0,"No scores entered",IF(O7="","Set status (official/provisional)",IF(COUNTIFS($A$2:$A$101,A7,$B$2:$B$101,B7,$D$2:$D$101,D7)&gt;1,"Duplicate entry","OK to upload"))))))))</f>
        <v/>
      </c>
    </row>
    <row r="8" customFormat="false" ht="15" hidden="false" customHeight="true" outlineLevel="0" collapsed="false">
      <c r="A8" s="8"/>
      <c r="B8" s="9"/>
      <c r="C8" s="9"/>
      <c r="D8" s="9"/>
      <c r="E8" s="10" t="str">
        <f aca="false">IFERROR(IF(D8="","",VLOOKUP(D8,Members!$A$2:$C$16,2,FALSE())),"")</f>
        <v/>
      </c>
      <c r="F8" s="10" t="str">
        <f aca="false">IFERROR(IF(D8="","",VLOOKUP(D8,Members!$A$2:$C$16,3,FALSE())),"")</f>
        <v/>
      </c>
      <c r="G8" s="11"/>
      <c r="H8" s="11"/>
      <c r="I8" s="11"/>
      <c r="J8" s="12"/>
      <c r="K8" s="12"/>
      <c r="L8" s="12"/>
      <c r="M8" s="13" t="str">
        <f aca="false">IF(COUNT(G8:I8)=0,"",SUM(G8:I8))</f>
        <v/>
      </c>
      <c r="N8" s="14" t="str">
        <f aca="false">IF(COUNT(J8:L8)=0,"",SUM(J8:L8))</f>
        <v/>
      </c>
      <c r="O8" s="9"/>
      <c r="P8" s="15"/>
      <c r="S8" s="16" t="str">
        <f aca="false">IF(AND(A8="",B8="",D8="",COUNT(G8:I8)=0),"",IF(D8="","Missing shooter",IF(A8="","Missing date",IF(B8="","Missing event",IF(E8="","Club not in roster (type manually)",IF(COUNT(G8:I8)=0,"No scores entered",IF(O8="","Set status (official/provisional)",IF(COUNTIFS($A$2:$A$101,A8,$B$2:$B$101,B8,$D$2:$D$101,D8)&gt;1,"Duplicate entry","OK to upload"))))))))</f>
        <v/>
      </c>
    </row>
    <row r="9" customFormat="false" ht="15" hidden="false" customHeight="true" outlineLevel="0" collapsed="false">
      <c r="A9" s="8"/>
      <c r="B9" s="9"/>
      <c r="C9" s="9"/>
      <c r="D9" s="9"/>
      <c r="E9" s="10" t="str">
        <f aca="false">IFERROR(IF(D9="","",VLOOKUP(D9,Members!$A$2:$C$16,2,FALSE())),"")</f>
        <v/>
      </c>
      <c r="F9" s="10" t="str">
        <f aca="false">IFERROR(IF(D9="","",VLOOKUP(D9,Members!$A$2:$C$16,3,FALSE())),"")</f>
        <v/>
      </c>
      <c r="G9" s="11"/>
      <c r="H9" s="11"/>
      <c r="I9" s="11"/>
      <c r="J9" s="12"/>
      <c r="K9" s="12"/>
      <c r="L9" s="12"/>
      <c r="M9" s="13" t="str">
        <f aca="false">IF(COUNT(G9:I9)=0,"",SUM(G9:I9))</f>
        <v/>
      </c>
      <c r="N9" s="14" t="str">
        <f aca="false">IF(COUNT(J9:L9)=0,"",SUM(J9:L9))</f>
        <v/>
      </c>
      <c r="O9" s="9"/>
      <c r="P9" s="15"/>
      <c r="S9" s="16" t="str">
        <f aca="false">IF(AND(A9="",B9="",D9="",COUNT(G9:I9)=0),"",IF(D9="","Missing shooter",IF(A9="","Missing date",IF(B9="","Missing event",IF(E9="","Club not in roster (type manually)",IF(COUNT(G9:I9)=0,"No scores entered",IF(O9="","Set status (official/provisional)",IF(COUNTIFS($A$2:$A$101,A9,$B$2:$B$101,B9,$D$2:$D$101,D9)&gt;1,"Duplicate entry","OK to upload"))))))))</f>
        <v/>
      </c>
    </row>
    <row r="10" customFormat="false" ht="15" hidden="false" customHeight="true" outlineLevel="0" collapsed="false">
      <c r="A10" s="8"/>
      <c r="B10" s="9"/>
      <c r="C10" s="9"/>
      <c r="D10" s="9"/>
      <c r="E10" s="10" t="str">
        <f aca="false">IFERROR(IF(D10="","",VLOOKUP(D10,Members!$A$2:$C$16,2,FALSE())),"")</f>
        <v/>
      </c>
      <c r="F10" s="10" t="str">
        <f aca="false">IFERROR(IF(D10="","",VLOOKUP(D10,Members!$A$2:$C$16,3,FALSE())),"")</f>
        <v/>
      </c>
      <c r="G10" s="11"/>
      <c r="H10" s="11"/>
      <c r="I10" s="11"/>
      <c r="J10" s="12"/>
      <c r="K10" s="12"/>
      <c r="L10" s="12"/>
      <c r="M10" s="13" t="str">
        <f aca="false">IF(COUNT(G10:I10)=0,"",SUM(G10:I10))</f>
        <v/>
      </c>
      <c r="N10" s="14" t="str">
        <f aca="false">IF(COUNT(J10:L10)=0,"",SUM(J10:L10))</f>
        <v/>
      </c>
      <c r="O10" s="9"/>
      <c r="P10" s="15"/>
      <c r="S10" s="16" t="str">
        <f aca="false">IF(AND(A10="",B10="",D10="",COUNT(G10:I10)=0),"",IF(D10="","Missing shooter",IF(A10="","Missing date",IF(B10="","Missing event",IF(E10="","Club not in roster (type manually)",IF(COUNT(G10:I10)=0,"No scores entered",IF(O10="","Set status (official/provisional)",IF(COUNTIFS($A$2:$A$101,A10,$B$2:$B$101,B10,$D$2:$D$101,D10)&gt;1,"Duplicate entry","OK to upload"))))))))</f>
        <v/>
      </c>
    </row>
    <row r="11" customFormat="false" ht="15" hidden="false" customHeight="true" outlineLevel="0" collapsed="false">
      <c r="A11" s="8"/>
      <c r="B11" s="9"/>
      <c r="C11" s="9"/>
      <c r="D11" s="9"/>
      <c r="E11" s="10" t="str">
        <f aca="false">IFERROR(IF(D11="","",VLOOKUP(D11,Members!$A$2:$C$16,2,FALSE())),"")</f>
        <v/>
      </c>
      <c r="F11" s="10" t="str">
        <f aca="false">IFERROR(IF(D11="","",VLOOKUP(D11,Members!$A$2:$C$16,3,FALSE())),"")</f>
        <v/>
      </c>
      <c r="G11" s="11"/>
      <c r="H11" s="11"/>
      <c r="I11" s="11"/>
      <c r="J11" s="12"/>
      <c r="K11" s="12"/>
      <c r="L11" s="12"/>
      <c r="M11" s="13" t="str">
        <f aca="false">IF(COUNT(G11:I11)=0,"",SUM(G11:I11))</f>
        <v/>
      </c>
      <c r="N11" s="14" t="str">
        <f aca="false">IF(COUNT(J11:L11)=0,"",SUM(J11:L11))</f>
        <v/>
      </c>
      <c r="O11" s="9"/>
      <c r="P11" s="15"/>
      <c r="S11" s="16" t="str">
        <f aca="false">IF(AND(A11="",B11="",D11="",COUNT(G11:I11)=0),"",IF(D11="","Missing shooter",IF(A11="","Missing date",IF(B11="","Missing event",IF(E11="","Club not in roster (type manually)",IF(COUNT(G11:I11)=0,"No scores entered",IF(O11="","Set status (official/provisional)",IF(COUNTIFS($A$2:$A$101,A11,$B$2:$B$101,B11,$D$2:$D$101,D11)&gt;1,"Duplicate entry","OK to upload"))))))))</f>
        <v/>
      </c>
    </row>
    <row r="12" customFormat="false" ht="15" hidden="false" customHeight="true" outlineLevel="0" collapsed="false">
      <c r="A12" s="8"/>
      <c r="B12" s="9"/>
      <c r="C12" s="9"/>
      <c r="D12" s="9"/>
      <c r="E12" s="10" t="str">
        <f aca="false">IFERROR(IF(D12="","",VLOOKUP(D12,Members!$A$2:$C$16,2,FALSE())),"")</f>
        <v/>
      </c>
      <c r="F12" s="10" t="str">
        <f aca="false">IFERROR(IF(D12="","",VLOOKUP(D12,Members!$A$2:$C$16,3,FALSE())),"")</f>
        <v/>
      </c>
      <c r="G12" s="11"/>
      <c r="H12" s="11"/>
      <c r="I12" s="11"/>
      <c r="J12" s="12"/>
      <c r="K12" s="12"/>
      <c r="L12" s="12"/>
      <c r="M12" s="13" t="str">
        <f aca="false">IF(COUNT(G12:I12)=0,"",SUM(G12:I12))</f>
        <v/>
      </c>
      <c r="N12" s="14" t="str">
        <f aca="false">IF(COUNT(J12:L12)=0,"",SUM(J12:L12))</f>
        <v/>
      </c>
      <c r="O12" s="9"/>
      <c r="P12" s="15"/>
      <c r="S12" s="16" t="str">
        <f aca="false">IF(AND(A12="",B12="",D12="",COUNT(G12:I12)=0),"",IF(D12="","Missing shooter",IF(A12="","Missing date",IF(B12="","Missing event",IF(E12="","Club not in roster (type manually)",IF(COUNT(G12:I12)=0,"No scores entered",IF(O12="","Set status (official/provisional)",IF(COUNTIFS($A$2:$A$101,A12,$B$2:$B$101,B12,$D$2:$D$101,D12)&gt;1,"Duplicate entry","OK to upload"))))))))</f>
        <v/>
      </c>
    </row>
    <row r="13" customFormat="false" ht="15" hidden="false" customHeight="true" outlineLevel="0" collapsed="false">
      <c r="A13" s="8"/>
      <c r="B13" s="9"/>
      <c r="C13" s="9"/>
      <c r="D13" s="9"/>
      <c r="E13" s="10" t="str">
        <f aca="false">IFERROR(IF(D13="","",VLOOKUP(D13,Members!$A$2:$C$16,2,FALSE())),"")</f>
        <v/>
      </c>
      <c r="F13" s="10" t="str">
        <f aca="false">IFERROR(IF(D13="","",VLOOKUP(D13,Members!$A$2:$C$16,3,FALSE())),"")</f>
        <v/>
      </c>
      <c r="G13" s="11"/>
      <c r="H13" s="11"/>
      <c r="I13" s="11"/>
      <c r="J13" s="12"/>
      <c r="K13" s="12"/>
      <c r="L13" s="12"/>
      <c r="M13" s="13" t="str">
        <f aca="false">IF(COUNT(G13:I13)=0,"",SUM(G13:I13))</f>
        <v/>
      </c>
      <c r="N13" s="14" t="str">
        <f aca="false">IF(COUNT(J13:L13)=0,"",SUM(J13:L13))</f>
        <v/>
      </c>
      <c r="O13" s="9"/>
      <c r="P13" s="15"/>
      <c r="S13" s="16" t="str">
        <f aca="false">IF(AND(A13="",B13="",D13="",COUNT(G13:I13)=0),"",IF(D13="","Missing shooter",IF(A13="","Missing date",IF(B13="","Missing event",IF(E13="","Club not in roster (type manually)",IF(COUNT(G13:I13)=0,"No scores entered",IF(O13="","Set status (official/provisional)",IF(COUNTIFS($A$2:$A$101,A13,$B$2:$B$101,B13,$D$2:$D$101,D13)&gt;1,"Duplicate entry","OK to upload"))))))))</f>
        <v/>
      </c>
    </row>
    <row r="14" customFormat="false" ht="15" hidden="false" customHeight="true" outlineLevel="0" collapsed="false">
      <c r="A14" s="8"/>
      <c r="B14" s="9"/>
      <c r="C14" s="9"/>
      <c r="D14" s="9"/>
      <c r="E14" s="10" t="str">
        <f aca="false">IFERROR(IF(D14="","",VLOOKUP(D14,Members!$A$2:$C$16,2,FALSE())),"")</f>
        <v/>
      </c>
      <c r="F14" s="10" t="str">
        <f aca="false">IFERROR(IF(D14="","",VLOOKUP(D14,Members!$A$2:$C$16,3,FALSE())),"")</f>
        <v/>
      </c>
      <c r="G14" s="11"/>
      <c r="H14" s="11"/>
      <c r="I14" s="11"/>
      <c r="J14" s="12"/>
      <c r="K14" s="12"/>
      <c r="L14" s="12"/>
      <c r="M14" s="13" t="str">
        <f aca="false">IF(COUNT(G14:I14)=0,"",SUM(G14:I14))</f>
        <v/>
      </c>
      <c r="N14" s="14" t="str">
        <f aca="false">IF(COUNT(J14:L14)=0,"",SUM(J14:L14))</f>
        <v/>
      </c>
      <c r="O14" s="9"/>
      <c r="P14" s="15"/>
      <c r="S14" s="16" t="str">
        <f aca="false">IF(AND(A14="",B14="",D14="",COUNT(G14:I14)=0),"",IF(D14="","Missing shooter",IF(A14="","Missing date",IF(B14="","Missing event",IF(E14="","Club not in roster (type manually)",IF(COUNT(G14:I14)=0,"No scores entered",IF(O14="","Set status (official/provisional)",IF(COUNTIFS($A$2:$A$101,A14,$B$2:$B$101,B14,$D$2:$D$101,D14)&gt;1,"Duplicate entry","OK to upload"))))))))</f>
        <v/>
      </c>
    </row>
    <row r="15" customFormat="false" ht="15" hidden="false" customHeight="true" outlineLevel="0" collapsed="false">
      <c r="A15" s="8"/>
      <c r="B15" s="9"/>
      <c r="C15" s="9"/>
      <c r="D15" s="9"/>
      <c r="E15" s="10" t="str">
        <f aca="false">IFERROR(IF(D15="","",VLOOKUP(D15,Members!$A$2:$C$16,2,FALSE())),"")</f>
        <v/>
      </c>
      <c r="F15" s="10" t="str">
        <f aca="false">IFERROR(IF(D15="","",VLOOKUP(D15,Members!$A$2:$C$16,3,FALSE())),"")</f>
        <v/>
      </c>
      <c r="G15" s="11"/>
      <c r="H15" s="11"/>
      <c r="I15" s="11"/>
      <c r="J15" s="12"/>
      <c r="K15" s="12"/>
      <c r="L15" s="12"/>
      <c r="M15" s="13" t="str">
        <f aca="false">IF(COUNT(G15:I15)=0,"",SUM(G15:I15))</f>
        <v/>
      </c>
      <c r="N15" s="14" t="str">
        <f aca="false">IF(COUNT(J15:L15)=0,"",SUM(J15:L15))</f>
        <v/>
      </c>
      <c r="O15" s="9"/>
      <c r="P15" s="15"/>
      <c r="S15" s="16" t="str">
        <f aca="false">IF(AND(A15="",B15="",D15="",COUNT(G15:I15)=0),"",IF(D15="","Missing shooter",IF(A15="","Missing date",IF(B15="","Missing event",IF(E15="","Club not in roster (type manually)",IF(COUNT(G15:I15)=0,"No scores entered",IF(O15="","Set status (official/provisional)",IF(COUNTIFS($A$2:$A$101,A15,$B$2:$B$101,B15,$D$2:$D$101,D15)&gt;1,"Duplicate entry","OK to upload"))))))))</f>
        <v/>
      </c>
    </row>
    <row r="16" customFormat="false" ht="15" hidden="false" customHeight="true" outlineLevel="0" collapsed="false">
      <c r="A16" s="8"/>
      <c r="B16" s="9"/>
      <c r="C16" s="9"/>
      <c r="D16" s="9"/>
      <c r="E16" s="10" t="str">
        <f aca="false">IFERROR(IF(D16="","",VLOOKUP(D16,Members!$A$2:$C$16,2,FALSE())),"")</f>
        <v/>
      </c>
      <c r="F16" s="10" t="str">
        <f aca="false">IFERROR(IF(D16="","",VLOOKUP(D16,Members!$A$2:$C$16,3,FALSE())),"")</f>
        <v/>
      </c>
      <c r="G16" s="11"/>
      <c r="H16" s="11"/>
      <c r="I16" s="11"/>
      <c r="J16" s="12"/>
      <c r="K16" s="12"/>
      <c r="L16" s="12"/>
      <c r="M16" s="13" t="str">
        <f aca="false">IF(COUNT(G16:I16)=0,"",SUM(G16:I16))</f>
        <v/>
      </c>
      <c r="N16" s="14" t="str">
        <f aca="false">IF(COUNT(J16:L16)=0,"",SUM(J16:L16))</f>
        <v/>
      </c>
      <c r="O16" s="9"/>
      <c r="P16" s="15"/>
      <c r="S16" s="16" t="str">
        <f aca="false">IF(AND(A16="",B16="",D16="",COUNT(G16:I16)=0),"",IF(D16="","Missing shooter",IF(A16="","Missing date",IF(B16="","Missing event",IF(E16="","Club not in roster (type manually)",IF(COUNT(G16:I16)=0,"No scores entered",IF(O16="","Set status (official/provisional)",IF(COUNTIFS($A$2:$A$101,A16,$B$2:$B$101,B16,$D$2:$D$101,D16)&gt;1,"Duplicate entry","OK to upload"))))))))</f>
        <v/>
      </c>
    </row>
    <row r="17" customFormat="false" ht="15" hidden="false" customHeight="true" outlineLevel="0" collapsed="false">
      <c r="A17" s="8"/>
      <c r="B17" s="9"/>
      <c r="C17" s="9"/>
      <c r="D17" s="9"/>
      <c r="E17" s="10" t="str">
        <f aca="false">IFERROR(IF(D17="","",VLOOKUP(D17,Members!$A$2:$C$16,2,FALSE())),"")</f>
        <v/>
      </c>
      <c r="F17" s="10" t="str">
        <f aca="false">IFERROR(IF(D17="","",VLOOKUP(D17,Members!$A$2:$C$16,3,FALSE())),"")</f>
        <v/>
      </c>
      <c r="G17" s="11"/>
      <c r="H17" s="11"/>
      <c r="I17" s="11"/>
      <c r="J17" s="12"/>
      <c r="K17" s="12"/>
      <c r="L17" s="12"/>
      <c r="M17" s="13" t="str">
        <f aca="false">IF(COUNT(G17:I17)=0,"",SUM(G17:I17))</f>
        <v/>
      </c>
      <c r="N17" s="14" t="str">
        <f aca="false">IF(COUNT(J17:L17)=0,"",SUM(J17:L17))</f>
        <v/>
      </c>
      <c r="O17" s="9"/>
      <c r="P17" s="15"/>
      <c r="S17" s="16" t="str">
        <f aca="false">IF(AND(A17="",B17="",D17="",COUNT(G17:I17)=0),"",IF(D17="","Missing shooter",IF(A17="","Missing date",IF(B17="","Missing event",IF(E17="","Club not in roster (type manually)",IF(COUNT(G17:I17)=0,"No scores entered",IF(O17="","Set status (official/provisional)",IF(COUNTIFS($A$2:$A$101,A17,$B$2:$B$101,B17,$D$2:$D$101,D17)&gt;1,"Duplicate entry","OK to upload"))))))))</f>
        <v/>
      </c>
    </row>
    <row r="18" customFormat="false" ht="15" hidden="false" customHeight="true" outlineLevel="0" collapsed="false">
      <c r="A18" s="8"/>
      <c r="B18" s="9"/>
      <c r="C18" s="9"/>
      <c r="D18" s="9"/>
      <c r="E18" s="10" t="str">
        <f aca="false">IFERROR(IF(D18="","",VLOOKUP(D18,Members!$A$2:$C$16,2,FALSE())),"")</f>
        <v/>
      </c>
      <c r="F18" s="10" t="str">
        <f aca="false">IFERROR(IF(D18="","",VLOOKUP(D18,Members!$A$2:$C$16,3,FALSE())),"")</f>
        <v/>
      </c>
      <c r="G18" s="11"/>
      <c r="H18" s="11"/>
      <c r="I18" s="11"/>
      <c r="J18" s="12"/>
      <c r="K18" s="12"/>
      <c r="L18" s="12"/>
      <c r="M18" s="13" t="str">
        <f aca="false">IF(COUNT(G18:I18)=0,"",SUM(G18:I18))</f>
        <v/>
      </c>
      <c r="N18" s="14" t="str">
        <f aca="false">IF(COUNT(J18:L18)=0,"",SUM(J18:L18))</f>
        <v/>
      </c>
      <c r="O18" s="9"/>
      <c r="P18" s="15"/>
      <c r="S18" s="16" t="str">
        <f aca="false">IF(AND(A18="",B18="",D18="",COUNT(G18:I18)=0),"",IF(D18="","Missing shooter",IF(A18="","Missing date",IF(B18="","Missing event",IF(E18="","Club not in roster (type manually)",IF(COUNT(G18:I18)=0,"No scores entered",IF(O18="","Set status (official/provisional)",IF(COUNTIFS($A$2:$A$101,A18,$B$2:$B$101,B18,$D$2:$D$101,D18)&gt;1,"Duplicate entry","OK to upload"))))))))</f>
        <v/>
      </c>
    </row>
    <row r="19" customFormat="false" ht="15" hidden="false" customHeight="true" outlineLevel="0" collapsed="false">
      <c r="A19" s="8"/>
      <c r="B19" s="9"/>
      <c r="C19" s="9"/>
      <c r="D19" s="9"/>
      <c r="E19" s="10" t="str">
        <f aca="false">IFERROR(IF(D19="","",VLOOKUP(D19,Members!$A$2:$C$16,2,FALSE())),"")</f>
        <v/>
      </c>
      <c r="F19" s="10" t="str">
        <f aca="false">IFERROR(IF(D19="","",VLOOKUP(D19,Members!$A$2:$C$16,3,FALSE())),"")</f>
        <v/>
      </c>
      <c r="G19" s="11"/>
      <c r="H19" s="11"/>
      <c r="I19" s="11"/>
      <c r="J19" s="12"/>
      <c r="K19" s="12"/>
      <c r="L19" s="12"/>
      <c r="M19" s="13" t="str">
        <f aca="false">IF(COUNT(G19:I19)=0,"",SUM(G19:I19))</f>
        <v/>
      </c>
      <c r="N19" s="14" t="str">
        <f aca="false">IF(COUNT(J19:L19)=0,"",SUM(J19:L19))</f>
        <v/>
      </c>
      <c r="O19" s="9"/>
      <c r="P19" s="15"/>
      <c r="S19" s="16" t="str">
        <f aca="false">IF(AND(A19="",B19="",D19="",COUNT(G19:I19)=0),"",IF(D19="","Missing shooter",IF(A19="","Missing date",IF(B19="","Missing event",IF(E19="","Club not in roster (type manually)",IF(COUNT(G19:I19)=0,"No scores entered",IF(O19="","Set status (official/provisional)",IF(COUNTIFS($A$2:$A$101,A19,$B$2:$B$101,B19,$D$2:$D$101,D19)&gt;1,"Duplicate entry","OK to upload"))))))))</f>
        <v/>
      </c>
    </row>
    <row r="20" customFormat="false" ht="15" hidden="false" customHeight="true" outlineLevel="0" collapsed="false">
      <c r="A20" s="8"/>
      <c r="B20" s="9"/>
      <c r="C20" s="9"/>
      <c r="D20" s="9"/>
      <c r="E20" s="10" t="str">
        <f aca="false">IFERROR(IF(D20="","",VLOOKUP(D20,Members!$A$2:$C$16,2,FALSE())),"")</f>
        <v/>
      </c>
      <c r="F20" s="10" t="str">
        <f aca="false">IFERROR(IF(D20="","",VLOOKUP(D20,Members!$A$2:$C$16,3,FALSE())),"")</f>
        <v/>
      </c>
      <c r="G20" s="11"/>
      <c r="H20" s="11"/>
      <c r="I20" s="11"/>
      <c r="J20" s="12"/>
      <c r="K20" s="12"/>
      <c r="L20" s="12"/>
      <c r="M20" s="13" t="str">
        <f aca="false">IF(COUNT(G20:I20)=0,"",SUM(G20:I20))</f>
        <v/>
      </c>
      <c r="N20" s="14" t="str">
        <f aca="false">IF(COUNT(J20:L20)=0,"",SUM(J20:L20))</f>
        <v/>
      </c>
      <c r="O20" s="9"/>
      <c r="P20" s="15"/>
      <c r="S20" s="16" t="str">
        <f aca="false">IF(AND(A20="",B20="",D20="",COUNT(G20:I20)=0),"",IF(D20="","Missing shooter",IF(A20="","Missing date",IF(B20="","Missing event",IF(E20="","Club not in roster (type manually)",IF(COUNT(G20:I20)=0,"No scores entered",IF(O20="","Set status (official/provisional)",IF(COUNTIFS($A$2:$A$101,A20,$B$2:$B$101,B20,$D$2:$D$101,D20)&gt;1,"Duplicate entry","OK to upload"))))))))</f>
        <v/>
      </c>
    </row>
    <row r="21" customFormat="false" ht="15" hidden="false" customHeight="true" outlineLevel="0" collapsed="false">
      <c r="A21" s="8"/>
      <c r="B21" s="9"/>
      <c r="C21" s="9"/>
      <c r="D21" s="9"/>
      <c r="E21" s="10" t="str">
        <f aca="false">IFERROR(IF(D21="","",VLOOKUP(D21,Members!$A$2:$C$16,2,FALSE())),"")</f>
        <v/>
      </c>
      <c r="F21" s="10" t="str">
        <f aca="false">IFERROR(IF(D21="","",VLOOKUP(D21,Members!$A$2:$C$16,3,FALSE())),"")</f>
        <v/>
      </c>
      <c r="G21" s="11"/>
      <c r="H21" s="11"/>
      <c r="I21" s="11"/>
      <c r="J21" s="12"/>
      <c r="K21" s="12"/>
      <c r="L21" s="12"/>
      <c r="M21" s="13" t="str">
        <f aca="false">IF(COUNT(G21:I21)=0,"",SUM(G21:I21))</f>
        <v/>
      </c>
      <c r="N21" s="14" t="str">
        <f aca="false">IF(COUNT(J21:L21)=0,"",SUM(J21:L21))</f>
        <v/>
      </c>
      <c r="O21" s="9"/>
      <c r="P21" s="15"/>
      <c r="S21" s="16" t="str">
        <f aca="false">IF(AND(A21="",B21="",D21="",COUNT(G21:I21)=0),"",IF(D21="","Missing shooter",IF(A21="","Missing date",IF(B21="","Missing event",IF(E21="","Club not in roster (type manually)",IF(COUNT(G21:I21)=0,"No scores entered",IF(O21="","Set status (official/provisional)",IF(COUNTIFS($A$2:$A$101,A21,$B$2:$B$101,B21,$D$2:$D$101,D21)&gt;1,"Duplicate entry","OK to upload"))))))))</f>
        <v/>
      </c>
    </row>
    <row r="22" customFormat="false" ht="15" hidden="false" customHeight="true" outlineLevel="0" collapsed="false">
      <c r="A22" s="8"/>
      <c r="B22" s="9"/>
      <c r="C22" s="9"/>
      <c r="D22" s="9"/>
      <c r="E22" s="10" t="str">
        <f aca="false">IFERROR(IF(D22="","",VLOOKUP(D22,Members!$A$2:$C$16,2,FALSE())),"")</f>
        <v/>
      </c>
      <c r="F22" s="10" t="str">
        <f aca="false">IFERROR(IF(D22="","",VLOOKUP(D22,Members!$A$2:$C$16,3,FALSE())),"")</f>
        <v/>
      </c>
      <c r="G22" s="11"/>
      <c r="H22" s="11"/>
      <c r="I22" s="11"/>
      <c r="J22" s="12"/>
      <c r="K22" s="12"/>
      <c r="L22" s="12"/>
      <c r="M22" s="13" t="str">
        <f aca="false">IF(COUNT(G22:I22)=0,"",SUM(G22:I22))</f>
        <v/>
      </c>
      <c r="N22" s="14" t="str">
        <f aca="false">IF(COUNT(J22:L22)=0,"",SUM(J22:L22))</f>
        <v/>
      </c>
      <c r="O22" s="9"/>
      <c r="P22" s="15"/>
      <c r="S22" s="16" t="str">
        <f aca="false">IF(AND(A22="",B22="",D22="",COUNT(G22:I22)=0),"",IF(D22="","Missing shooter",IF(A22="","Missing date",IF(B22="","Missing event",IF(E22="","Club not in roster (type manually)",IF(COUNT(G22:I22)=0,"No scores entered",IF(O22="","Set status (official/provisional)",IF(COUNTIFS($A$2:$A$101,A22,$B$2:$B$101,B22,$D$2:$D$101,D22)&gt;1,"Duplicate entry","OK to upload"))))))))</f>
        <v/>
      </c>
    </row>
    <row r="23" customFormat="false" ht="15" hidden="false" customHeight="true" outlineLevel="0" collapsed="false">
      <c r="A23" s="8"/>
      <c r="B23" s="9"/>
      <c r="C23" s="9"/>
      <c r="D23" s="9"/>
      <c r="E23" s="10" t="str">
        <f aca="false">IFERROR(IF(D23="","",VLOOKUP(D23,Members!$A$2:$C$16,2,FALSE())),"")</f>
        <v/>
      </c>
      <c r="F23" s="10" t="str">
        <f aca="false">IFERROR(IF(D23="","",VLOOKUP(D23,Members!$A$2:$C$16,3,FALSE())),"")</f>
        <v/>
      </c>
      <c r="G23" s="11"/>
      <c r="H23" s="11"/>
      <c r="I23" s="11"/>
      <c r="J23" s="12"/>
      <c r="K23" s="12"/>
      <c r="L23" s="12"/>
      <c r="M23" s="13" t="str">
        <f aca="false">IF(COUNT(G23:I23)=0,"",SUM(G23:I23))</f>
        <v/>
      </c>
      <c r="N23" s="14" t="str">
        <f aca="false">IF(COUNT(J23:L23)=0,"",SUM(J23:L23))</f>
        <v/>
      </c>
      <c r="O23" s="9"/>
      <c r="P23" s="15"/>
      <c r="S23" s="16" t="str">
        <f aca="false">IF(AND(A23="",B23="",D23="",COUNT(G23:I23)=0),"",IF(D23="","Missing shooter",IF(A23="","Missing date",IF(B23="","Missing event",IF(E23="","Club not in roster (type manually)",IF(COUNT(G23:I23)=0,"No scores entered",IF(O23="","Set status (official/provisional)",IF(COUNTIFS($A$2:$A$101,A23,$B$2:$B$101,B23,$D$2:$D$101,D23)&gt;1,"Duplicate entry","OK to upload"))))))))</f>
        <v/>
      </c>
    </row>
    <row r="24" customFormat="false" ht="15" hidden="false" customHeight="true" outlineLevel="0" collapsed="false">
      <c r="A24" s="8"/>
      <c r="B24" s="9"/>
      <c r="C24" s="9"/>
      <c r="D24" s="9"/>
      <c r="E24" s="10" t="str">
        <f aca="false">IFERROR(IF(D24="","",VLOOKUP(D24,Members!$A$2:$C$16,2,FALSE())),"")</f>
        <v/>
      </c>
      <c r="F24" s="10" t="str">
        <f aca="false">IFERROR(IF(D24="","",VLOOKUP(D24,Members!$A$2:$C$16,3,FALSE())),"")</f>
        <v/>
      </c>
      <c r="G24" s="11"/>
      <c r="H24" s="11"/>
      <c r="I24" s="11"/>
      <c r="J24" s="12"/>
      <c r="K24" s="12"/>
      <c r="L24" s="12"/>
      <c r="M24" s="13" t="str">
        <f aca="false">IF(COUNT(G24:I24)=0,"",SUM(G24:I24))</f>
        <v/>
      </c>
      <c r="N24" s="14" t="str">
        <f aca="false">IF(COUNT(J24:L24)=0,"",SUM(J24:L24))</f>
        <v/>
      </c>
      <c r="O24" s="9"/>
      <c r="P24" s="15"/>
      <c r="S24" s="16" t="str">
        <f aca="false">IF(AND(A24="",B24="",D24="",COUNT(G24:I24)=0),"",IF(D24="","Missing shooter",IF(A24="","Missing date",IF(B24="","Missing event",IF(E24="","Club not in roster (type manually)",IF(COUNT(G24:I24)=0,"No scores entered",IF(O24="","Set status (official/provisional)",IF(COUNTIFS($A$2:$A$101,A24,$B$2:$B$101,B24,$D$2:$D$101,D24)&gt;1,"Duplicate entry","OK to upload"))))))))</f>
        <v/>
      </c>
    </row>
    <row r="25" customFormat="false" ht="15" hidden="false" customHeight="true" outlineLevel="0" collapsed="false">
      <c r="A25" s="8"/>
      <c r="B25" s="9"/>
      <c r="C25" s="9"/>
      <c r="D25" s="9"/>
      <c r="E25" s="10" t="str">
        <f aca="false">IFERROR(IF(D25="","",VLOOKUP(D25,Members!$A$2:$C$16,2,FALSE())),"")</f>
        <v/>
      </c>
      <c r="F25" s="10" t="str">
        <f aca="false">IFERROR(IF(D25="","",VLOOKUP(D25,Members!$A$2:$C$16,3,FALSE())),"")</f>
        <v/>
      </c>
      <c r="G25" s="11"/>
      <c r="H25" s="11"/>
      <c r="I25" s="11"/>
      <c r="J25" s="12"/>
      <c r="K25" s="12"/>
      <c r="L25" s="12"/>
      <c r="M25" s="13" t="str">
        <f aca="false">IF(COUNT(G25:I25)=0,"",SUM(G25:I25))</f>
        <v/>
      </c>
      <c r="N25" s="14" t="str">
        <f aca="false">IF(COUNT(J25:L25)=0,"",SUM(J25:L25))</f>
        <v/>
      </c>
      <c r="O25" s="9"/>
      <c r="P25" s="15"/>
      <c r="S25" s="16" t="str">
        <f aca="false">IF(AND(A25="",B25="",D25="",COUNT(G25:I25)=0),"",IF(D25="","Missing shooter",IF(A25="","Missing date",IF(B25="","Missing event",IF(E25="","Club not in roster (type manually)",IF(COUNT(G25:I25)=0,"No scores entered",IF(O25="","Set status (official/provisional)",IF(COUNTIFS($A$2:$A$101,A25,$B$2:$B$101,B25,$D$2:$D$101,D25)&gt;1,"Duplicate entry","OK to upload"))))))))</f>
        <v/>
      </c>
    </row>
    <row r="26" customFormat="false" ht="15" hidden="false" customHeight="true" outlineLevel="0" collapsed="false">
      <c r="A26" s="8"/>
      <c r="B26" s="9"/>
      <c r="C26" s="9"/>
      <c r="D26" s="9"/>
      <c r="E26" s="10" t="str">
        <f aca="false">IFERROR(IF(D26="","",VLOOKUP(D26,Members!$A$2:$C$16,2,FALSE())),"")</f>
        <v/>
      </c>
      <c r="F26" s="10" t="str">
        <f aca="false">IFERROR(IF(D26="","",VLOOKUP(D26,Members!$A$2:$C$16,3,FALSE())),"")</f>
        <v/>
      </c>
      <c r="G26" s="11"/>
      <c r="H26" s="11"/>
      <c r="I26" s="11"/>
      <c r="J26" s="12"/>
      <c r="K26" s="12"/>
      <c r="L26" s="12"/>
      <c r="M26" s="13" t="str">
        <f aca="false">IF(COUNT(G26:I26)=0,"",SUM(G26:I26))</f>
        <v/>
      </c>
      <c r="N26" s="14" t="str">
        <f aca="false">IF(COUNT(J26:L26)=0,"",SUM(J26:L26))</f>
        <v/>
      </c>
      <c r="O26" s="9"/>
      <c r="P26" s="15"/>
      <c r="S26" s="16" t="str">
        <f aca="false">IF(AND(A26="",B26="",D26="",COUNT(G26:I26)=0),"",IF(D26="","Missing shooter",IF(A26="","Missing date",IF(B26="","Missing event",IF(E26="","Club not in roster (type manually)",IF(COUNT(G26:I26)=0,"No scores entered",IF(O26="","Set status (official/provisional)",IF(COUNTIFS($A$2:$A$101,A26,$B$2:$B$101,B26,$D$2:$D$101,D26)&gt;1,"Duplicate entry","OK to upload"))))))))</f>
        <v/>
      </c>
    </row>
    <row r="27" customFormat="false" ht="15" hidden="false" customHeight="true" outlineLevel="0" collapsed="false">
      <c r="A27" s="8"/>
      <c r="B27" s="9"/>
      <c r="C27" s="9"/>
      <c r="D27" s="9"/>
      <c r="E27" s="10" t="str">
        <f aca="false">IFERROR(IF(D27="","",VLOOKUP(D27,Members!$A$2:$C$16,2,FALSE())),"")</f>
        <v/>
      </c>
      <c r="F27" s="10" t="str">
        <f aca="false">IFERROR(IF(D27="","",VLOOKUP(D27,Members!$A$2:$C$16,3,FALSE())),"")</f>
        <v/>
      </c>
      <c r="G27" s="11"/>
      <c r="H27" s="11"/>
      <c r="I27" s="11"/>
      <c r="J27" s="12"/>
      <c r="K27" s="12"/>
      <c r="L27" s="12"/>
      <c r="M27" s="13" t="str">
        <f aca="false">IF(COUNT(G27:I27)=0,"",SUM(G27:I27))</f>
        <v/>
      </c>
      <c r="N27" s="14" t="str">
        <f aca="false">IF(COUNT(J27:L27)=0,"",SUM(J27:L27))</f>
        <v/>
      </c>
      <c r="O27" s="9"/>
      <c r="P27" s="15"/>
      <c r="S27" s="16" t="str">
        <f aca="false">IF(AND(A27="",B27="",D27="",COUNT(G27:I27)=0),"",IF(D27="","Missing shooter",IF(A27="","Missing date",IF(B27="","Missing event",IF(E27="","Club not in roster (type manually)",IF(COUNT(G27:I27)=0,"No scores entered",IF(O27="","Set status (official/provisional)",IF(COUNTIFS($A$2:$A$101,A27,$B$2:$B$101,B27,$D$2:$D$101,D27)&gt;1,"Duplicate entry","OK to upload"))))))))</f>
        <v/>
      </c>
    </row>
    <row r="28" customFormat="false" ht="15" hidden="false" customHeight="true" outlineLevel="0" collapsed="false">
      <c r="A28" s="8"/>
      <c r="B28" s="9"/>
      <c r="C28" s="9"/>
      <c r="D28" s="9"/>
      <c r="E28" s="10" t="str">
        <f aca="false">IFERROR(IF(D28="","",VLOOKUP(D28,Members!$A$2:$C$16,2,FALSE())),"")</f>
        <v/>
      </c>
      <c r="F28" s="10" t="str">
        <f aca="false">IFERROR(IF(D28="","",VLOOKUP(D28,Members!$A$2:$C$16,3,FALSE())),"")</f>
        <v/>
      </c>
      <c r="G28" s="11"/>
      <c r="H28" s="11"/>
      <c r="I28" s="11"/>
      <c r="J28" s="12"/>
      <c r="K28" s="12"/>
      <c r="L28" s="12"/>
      <c r="M28" s="13" t="str">
        <f aca="false">IF(COUNT(G28:I28)=0,"",SUM(G28:I28))</f>
        <v/>
      </c>
      <c r="N28" s="14" t="str">
        <f aca="false">IF(COUNT(J28:L28)=0,"",SUM(J28:L28))</f>
        <v/>
      </c>
      <c r="O28" s="9"/>
      <c r="P28" s="15"/>
      <c r="S28" s="16" t="str">
        <f aca="false">IF(AND(A28="",B28="",D28="",COUNT(G28:I28)=0),"",IF(D28="","Missing shooter",IF(A28="","Missing date",IF(B28="","Missing event",IF(E28="","Club not in roster (type manually)",IF(COUNT(G28:I28)=0,"No scores entered",IF(O28="","Set status (official/provisional)",IF(COUNTIFS($A$2:$A$101,A28,$B$2:$B$101,B28,$D$2:$D$101,D28)&gt;1,"Duplicate entry","OK to upload"))))))))</f>
        <v/>
      </c>
    </row>
    <row r="29" customFormat="false" ht="15" hidden="false" customHeight="true" outlineLevel="0" collapsed="false">
      <c r="A29" s="8"/>
      <c r="B29" s="9"/>
      <c r="C29" s="9"/>
      <c r="D29" s="9"/>
      <c r="E29" s="10" t="str">
        <f aca="false">IFERROR(IF(D29="","",VLOOKUP(D29,Members!$A$2:$C$16,2,FALSE())),"")</f>
        <v/>
      </c>
      <c r="F29" s="10" t="str">
        <f aca="false">IFERROR(IF(D29="","",VLOOKUP(D29,Members!$A$2:$C$16,3,FALSE())),"")</f>
        <v/>
      </c>
      <c r="G29" s="11"/>
      <c r="H29" s="11"/>
      <c r="I29" s="11"/>
      <c r="J29" s="12"/>
      <c r="K29" s="12"/>
      <c r="L29" s="12"/>
      <c r="M29" s="13" t="str">
        <f aca="false">IF(COUNT(G29:I29)=0,"",SUM(G29:I29))</f>
        <v/>
      </c>
      <c r="N29" s="14" t="str">
        <f aca="false">IF(COUNT(J29:L29)=0,"",SUM(J29:L29))</f>
        <v/>
      </c>
      <c r="O29" s="9"/>
      <c r="P29" s="15"/>
      <c r="S29" s="16" t="str">
        <f aca="false">IF(AND(A29="",B29="",D29="",COUNT(G29:I29)=0),"",IF(D29="","Missing shooter",IF(A29="","Missing date",IF(B29="","Missing event",IF(E29="","Club not in roster (type manually)",IF(COUNT(G29:I29)=0,"No scores entered",IF(O29="","Set status (official/provisional)",IF(COUNTIFS($A$2:$A$101,A29,$B$2:$B$101,B29,$D$2:$D$101,D29)&gt;1,"Duplicate entry","OK to upload"))))))))</f>
        <v/>
      </c>
    </row>
    <row r="30" customFormat="false" ht="15" hidden="false" customHeight="true" outlineLevel="0" collapsed="false">
      <c r="A30" s="8"/>
      <c r="B30" s="9"/>
      <c r="C30" s="9"/>
      <c r="D30" s="9"/>
      <c r="E30" s="10" t="str">
        <f aca="false">IFERROR(IF(D30="","",VLOOKUP(D30,Members!$A$2:$C$16,2,FALSE())),"")</f>
        <v/>
      </c>
      <c r="F30" s="10" t="str">
        <f aca="false">IFERROR(IF(D30="","",VLOOKUP(D30,Members!$A$2:$C$16,3,FALSE())),"")</f>
        <v/>
      </c>
      <c r="G30" s="11"/>
      <c r="H30" s="11"/>
      <c r="I30" s="11"/>
      <c r="J30" s="12"/>
      <c r="K30" s="12"/>
      <c r="L30" s="12"/>
      <c r="M30" s="13" t="str">
        <f aca="false">IF(COUNT(G30:I30)=0,"",SUM(G30:I30))</f>
        <v/>
      </c>
      <c r="N30" s="14" t="str">
        <f aca="false">IF(COUNT(J30:L30)=0,"",SUM(J30:L30))</f>
        <v/>
      </c>
      <c r="O30" s="9"/>
      <c r="P30" s="15"/>
      <c r="S30" s="16" t="str">
        <f aca="false">IF(AND(A30="",B30="",D30="",COUNT(G30:I30)=0),"",IF(D30="","Missing shooter",IF(A30="","Missing date",IF(B30="","Missing event",IF(E30="","Club not in roster (type manually)",IF(COUNT(G30:I30)=0,"No scores entered",IF(O30="","Set status (official/provisional)",IF(COUNTIFS($A$2:$A$101,A30,$B$2:$B$101,B30,$D$2:$D$101,D30)&gt;1,"Duplicate entry","OK to upload"))))))))</f>
        <v/>
      </c>
    </row>
    <row r="31" customFormat="false" ht="15" hidden="false" customHeight="true" outlineLevel="0" collapsed="false">
      <c r="A31" s="8"/>
      <c r="B31" s="9"/>
      <c r="C31" s="9"/>
      <c r="D31" s="9"/>
      <c r="E31" s="10" t="str">
        <f aca="false">IFERROR(IF(D31="","",VLOOKUP(D31,Members!$A$2:$C$16,2,FALSE())),"")</f>
        <v/>
      </c>
      <c r="F31" s="10" t="str">
        <f aca="false">IFERROR(IF(D31="","",VLOOKUP(D31,Members!$A$2:$C$16,3,FALSE())),"")</f>
        <v/>
      </c>
      <c r="G31" s="11"/>
      <c r="H31" s="11"/>
      <c r="I31" s="11"/>
      <c r="J31" s="12"/>
      <c r="K31" s="12"/>
      <c r="L31" s="12"/>
      <c r="M31" s="13" t="str">
        <f aca="false">IF(COUNT(G31:I31)=0,"",SUM(G31:I31))</f>
        <v/>
      </c>
      <c r="N31" s="14" t="str">
        <f aca="false">IF(COUNT(J31:L31)=0,"",SUM(J31:L31))</f>
        <v/>
      </c>
      <c r="O31" s="9"/>
      <c r="P31" s="15"/>
      <c r="S31" s="16" t="str">
        <f aca="false">IF(AND(A31="",B31="",D31="",COUNT(G31:I31)=0),"",IF(D31="","Missing shooter",IF(A31="","Missing date",IF(B31="","Missing event",IF(E31="","Club not in roster (type manually)",IF(COUNT(G31:I31)=0,"No scores entered",IF(O31="","Set status (official/provisional)",IF(COUNTIFS($A$2:$A$101,A31,$B$2:$B$101,B31,$D$2:$D$101,D31)&gt;1,"Duplicate entry","OK to upload"))))))))</f>
        <v/>
      </c>
    </row>
    <row r="32" customFormat="false" ht="15" hidden="false" customHeight="true" outlineLevel="0" collapsed="false">
      <c r="A32" s="8"/>
      <c r="B32" s="9"/>
      <c r="C32" s="9"/>
      <c r="D32" s="9"/>
      <c r="E32" s="10" t="str">
        <f aca="false">IFERROR(IF(D32="","",VLOOKUP(D32,Members!$A$2:$C$16,2,FALSE())),"")</f>
        <v/>
      </c>
      <c r="F32" s="10" t="str">
        <f aca="false">IFERROR(IF(D32="","",VLOOKUP(D32,Members!$A$2:$C$16,3,FALSE())),"")</f>
        <v/>
      </c>
      <c r="G32" s="11"/>
      <c r="H32" s="11"/>
      <c r="I32" s="11"/>
      <c r="J32" s="12"/>
      <c r="K32" s="12"/>
      <c r="L32" s="12"/>
      <c r="M32" s="13" t="str">
        <f aca="false">IF(COUNT(G32:I32)=0,"",SUM(G32:I32))</f>
        <v/>
      </c>
      <c r="N32" s="14" t="str">
        <f aca="false">IF(COUNT(J32:L32)=0,"",SUM(J32:L32))</f>
        <v/>
      </c>
      <c r="O32" s="9"/>
      <c r="P32" s="15"/>
      <c r="S32" s="16" t="str">
        <f aca="false">IF(AND(A32="",B32="",D32="",COUNT(G32:I32)=0),"",IF(D32="","Missing shooter",IF(A32="","Missing date",IF(B32="","Missing event",IF(E32="","Club not in roster (type manually)",IF(COUNT(G32:I32)=0,"No scores entered",IF(O32="","Set status (official/provisional)",IF(COUNTIFS($A$2:$A$101,A32,$B$2:$B$101,B32,$D$2:$D$101,D32)&gt;1,"Duplicate entry","OK to upload"))))))))</f>
        <v/>
      </c>
    </row>
    <row r="33" customFormat="false" ht="15" hidden="false" customHeight="true" outlineLevel="0" collapsed="false">
      <c r="A33" s="8"/>
      <c r="B33" s="9"/>
      <c r="C33" s="9"/>
      <c r="D33" s="9"/>
      <c r="E33" s="10" t="str">
        <f aca="false">IFERROR(IF(D33="","",VLOOKUP(D33,Members!$A$2:$C$16,2,FALSE())),"")</f>
        <v/>
      </c>
      <c r="F33" s="10" t="str">
        <f aca="false">IFERROR(IF(D33="","",VLOOKUP(D33,Members!$A$2:$C$16,3,FALSE())),"")</f>
        <v/>
      </c>
      <c r="G33" s="11"/>
      <c r="H33" s="11"/>
      <c r="I33" s="11"/>
      <c r="J33" s="12"/>
      <c r="K33" s="12"/>
      <c r="L33" s="12"/>
      <c r="M33" s="13" t="str">
        <f aca="false">IF(COUNT(G33:I33)=0,"",SUM(G33:I33))</f>
        <v/>
      </c>
      <c r="N33" s="14" t="str">
        <f aca="false">IF(COUNT(J33:L33)=0,"",SUM(J33:L33))</f>
        <v/>
      </c>
      <c r="O33" s="9"/>
      <c r="P33" s="15"/>
      <c r="S33" s="16" t="str">
        <f aca="false">IF(AND(A33="",B33="",D33="",COUNT(G33:I33)=0),"",IF(D33="","Missing shooter",IF(A33="","Missing date",IF(B33="","Missing event",IF(E33="","Club not in roster (type manually)",IF(COUNT(G33:I33)=0,"No scores entered",IF(O33="","Set status (official/provisional)",IF(COUNTIFS($A$2:$A$101,A33,$B$2:$B$101,B33,$D$2:$D$101,D33)&gt;1,"Duplicate entry","OK to upload"))))))))</f>
        <v/>
      </c>
    </row>
    <row r="34" customFormat="false" ht="15" hidden="false" customHeight="true" outlineLevel="0" collapsed="false">
      <c r="A34" s="8"/>
      <c r="B34" s="9"/>
      <c r="C34" s="9"/>
      <c r="D34" s="9"/>
      <c r="E34" s="10" t="str">
        <f aca="false">IFERROR(IF(D34="","",VLOOKUP(D34,Members!$A$2:$C$16,2,FALSE())),"")</f>
        <v/>
      </c>
      <c r="F34" s="10" t="str">
        <f aca="false">IFERROR(IF(D34="","",VLOOKUP(D34,Members!$A$2:$C$16,3,FALSE())),"")</f>
        <v/>
      </c>
      <c r="G34" s="11"/>
      <c r="H34" s="11"/>
      <c r="I34" s="11"/>
      <c r="J34" s="12"/>
      <c r="K34" s="12"/>
      <c r="L34" s="12"/>
      <c r="M34" s="13" t="str">
        <f aca="false">IF(COUNT(G34:I34)=0,"",SUM(G34:I34))</f>
        <v/>
      </c>
      <c r="N34" s="14" t="str">
        <f aca="false">IF(COUNT(J34:L34)=0,"",SUM(J34:L34))</f>
        <v/>
      </c>
      <c r="O34" s="9"/>
      <c r="P34" s="15"/>
      <c r="S34" s="16" t="str">
        <f aca="false">IF(AND(A34="",B34="",D34="",COUNT(G34:I34)=0),"",IF(D34="","Missing shooter",IF(A34="","Missing date",IF(B34="","Missing event",IF(E34="","Club not in roster (type manually)",IF(COUNT(G34:I34)=0,"No scores entered",IF(O34="","Set status (official/provisional)",IF(COUNTIFS($A$2:$A$101,A34,$B$2:$B$101,B34,$D$2:$D$101,D34)&gt;1,"Duplicate entry","OK to upload"))))))))</f>
        <v/>
      </c>
    </row>
    <row r="35" customFormat="false" ht="15" hidden="false" customHeight="true" outlineLevel="0" collapsed="false">
      <c r="A35" s="8"/>
      <c r="B35" s="9"/>
      <c r="C35" s="9"/>
      <c r="D35" s="9"/>
      <c r="E35" s="10" t="str">
        <f aca="false">IFERROR(IF(D35="","",VLOOKUP(D35,Members!$A$2:$C$16,2,FALSE())),"")</f>
        <v/>
      </c>
      <c r="F35" s="10" t="str">
        <f aca="false">IFERROR(IF(D35="","",VLOOKUP(D35,Members!$A$2:$C$16,3,FALSE())),"")</f>
        <v/>
      </c>
      <c r="G35" s="11"/>
      <c r="H35" s="11"/>
      <c r="I35" s="11"/>
      <c r="J35" s="12"/>
      <c r="K35" s="12"/>
      <c r="L35" s="12"/>
      <c r="M35" s="13" t="str">
        <f aca="false">IF(COUNT(G35:I35)=0,"",SUM(G35:I35))</f>
        <v/>
      </c>
      <c r="N35" s="14" t="str">
        <f aca="false">IF(COUNT(J35:L35)=0,"",SUM(J35:L35))</f>
        <v/>
      </c>
      <c r="O35" s="9"/>
      <c r="P35" s="15"/>
      <c r="S35" s="16" t="str">
        <f aca="false">IF(AND(A35="",B35="",D35="",COUNT(G35:I35)=0),"",IF(D35="","Missing shooter",IF(A35="","Missing date",IF(B35="","Missing event",IF(E35="","Club not in roster (type manually)",IF(COUNT(G35:I35)=0,"No scores entered",IF(O35="","Set status (official/provisional)",IF(COUNTIFS($A$2:$A$101,A35,$B$2:$B$101,B35,$D$2:$D$101,D35)&gt;1,"Duplicate entry","OK to upload"))))))))</f>
        <v/>
      </c>
    </row>
    <row r="36" customFormat="false" ht="15" hidden="false" customHeight="true" outlineLevel="0" collapsed="false">
      <c r="A36" s="8"/>
      <c r="B36" s="9"/>
      <c r="C36" s="9"/>
      <c r="D36" s="9"/>
      <c r="E36" s="10" t="str">
        <f aca="false">IFERROR(IF(D36="","",VLOOKUP(D36,Members!$A$2:$C$16,2,FALSE())),"")</f>
        <v/>
      </c>
      <c r="F36" s="10" t="str">
        <f aca="false">IFERROR(IF(D36="","",VLOOKUP(D36,Members!$A$2:$C$16,3,FALSE())),"")</f>
        <v/>
      </c>
      <c r="G36" s="11"/>
      <c r="H36" s="11"/>
      <c r="I36" s="11"/>
      <c r="J36" s="12"/>
      <c r="K36" s="12"/>
      <c r="L36" s="12"/>
      <c r="M36" s="13" t="str">
        <f aca="false">IF(COUNT(G36:I36)=0,"",SUM(G36:I36))</f>
        <v/>
      </c>
      <c r="N36" s="14" t="str">
        <f aca="false">IF(COUNT(J36:L36)=0,"",SUM(J36:L36))</f>
        <v/>
      </c>
      <c r="O36" s="9"/>
      <c r="P36" s="15"/>
      <c r="S36" s="16" t="str">
        <f aca="false">IF(AND(A36="",B36="",D36="",COUNT(G36:I36)=0),"",IF(D36="","Missing shooter",IF(A36="","Missing date",IF(B36="","Missing event",IF(E36="","Club not in roster (type manually)",IF(COUNT(G36:I36)=0,"No scores entered",IF(O36="","Set status (official/provisional)",IF(COUNTIFS($A$2:$A$101,A36,$B$2:$B$101,B36,$D$2:$D$101,D36)&gt;1,"Duplicate entry","OK to upload"))))))))</f>
        <v/>
      </c>
    </row>
    <row r="37" customFormat="false" ht="15" hidden="false" customHeight="true" outlineLevel="0" collapsed="false">
      <c r="A37" s="8"/>
      <c r="B37" s="9"/>
      <c r="C37" s="9"/>
      <c r="D37" s="9"/>
      <c r="E37" s="10" t="str">
        <f aca="false">IFERROR(IF(D37="","",VLOOKUP(D37,Members!$A$2:$C$16,2,FALSE())),"")</f>
        <v/>
      </c>
      <c r="F37" s="10" t="str">
        <f aca="false">IFERROR(IF(D37="","",VLOOKUP(D37,Members!$A$2:$C$16,3,FALSE())),"")</f>
        <v/>
      </c>
      <c r="G37" s="11"/>
      <c r="H37" s="11"/>
      <c r="I37" s="11"/>
      <c r="J37" s="12"/>
      <c r="K37" s="12"/>
      <c r="L37" s="12"/>
      <c r="M37" s="13" t="str">
        <f aca="false">IF(COUNT(G37:I37)=0,"",SUM(G37:I37))</f>
        <v/>
      </c>
      <c r="N37" s="14" t="str">
        <f aca="false">IF(COUNT(J37:L37)=0,"",SUM(J37:L37))</f>
        <v/>
      </c>
      <c r="O37" s="9"/>
      <c r="P37" s="15"/>
      <c r="S37" s="16" t="str">
        <f aca="false">IF(AND(A37="",B37="",D37="",COUNT(G37:I37)=0),"",IF(D37="","Missing shooter",IF(A37="","Missing date",IF(B37="","Missing event",IF(E37="","Club not in roster (type manually)",IF(COUNT(G37:I37)=0,"No scores entered",IF(O37="","Set status (official/provisional)",IF(COUNTIFS($A$2:$A$101,A37,$B$2:$B$101,B37,$D$2:$D$101,D37)&gt;1,"Duplicate entry","OK to upload"))))))))</f>
        <v/>
      </c>
    </row>
    <row r="38" customFormat="false" ht="15" hidden="false" customHeight="true" outlineLevel="0" collapsed="false">
      <c r="A38" s="8"/>
      <c r="B38" s="9"/>
      <c r="C38" s="9"/>
      <c r="D38" s="9"/>
      <c r="E38" s="10" t="str">
        <f aca="false">IFERROR(IF(D38="","",VLOOKUP(D38,Members!$A$2:$C$16,2,FALSE())),"")</f>
        <v/>
      </c>
      <c r="F38" s="10" t="str">
        <f aca="false">IFERROR(IF(D38="","",VLOOKUP(D38,Members!$A$2:$C$16,3,FALSE())),"")</f>
        <v/>
      </c>
      <c r="G38" s="11"/>
      <c r="H38" s="11"/>
      <c r="I38" s="11"/>
      <c r="J38" s="12"/>
      <c r="K38" s="12"/>
      <c r="L38" s="12"/>
      <c r="M38" s="13" t="str">
        <f aca="false">IF(COUNT(G38:I38)=0,"",SUM(G38:I38))</f>
        <v/>
      </c>
      <c r="N38" s="14" t="str">
        <f aca="false">IF(COUNT(J38:L38)=0,"",SUM(J38:L38))</f>
        <v/>
      </c>
      <c r="O38" s="9"/>
      <c r="P38" s="15"/>
      <c r="S38" s="16" t="str">
        <f aca="false">IF(AND(A38="",B38="",D38="",COUNT(G38:I38)=0),"",IF(D38="","Missing shooter",IF(A38="","Missing date",IF(B38="","Missing event",IF(E38="","Club not in roster (type manually)",IF(COUNT(G38:I38)=0,"No scores entered",IF(O38="","Set status (official/provisional)",IF(COUNTIFS($A$2:$A$101,A38,$B$2:$B$101,B38,$D$2:$D$101,D38)&gt;1,"Duplicate entry","OK to upload"))))))))</f>
        <v/>
      </c>
    </row>
    <row r="39" customFormat="false" ht="15" hidden="false" customHeight="true" outlineLevel="0" collapsed="false">
      <c r="A39" s="8"/>
      <c r="B39" s="9"/>
      <c r="C39" s="9"/>
      <c r="D39" s="9"/>
      <c r="E39" s="10" t="str">
        <f aca="false">IFERROR(IF(D39="","",VLOOKUP(D39,Members!$A$2:$C$16,2,FALSE())),"")</f>
        <v/>
      </c>
      <c r="F39" s="10" t="str">
        <f aca="false">IFERROR(IF(D39="","",VLOOKUP(D39,Members!$A$2:$C$16,3,FALSE())),"")</f>
        <v/>
      </c>
      <c r="G39" s="11"/>
      <c r="H39" s="11"/>
      <c r="I39" s="11"/>
      <c r="J39" s="12"/>
      <c r="K39" s="12"/>
      <c r="L39" s="12"/>
      <c r="M39" s="13" t="str">
        <f aca="false">IF(COUNT(G39:I39)=0,"",SUM(G39:I39))</f>
        <v/>
      </c>
      <c r="N39" s="14" t="str">
        <f aca="false">IF(COUNT(J39:L39)=0,"",SUM(J39:L39))</f>
        <v/>
      </c>
      <c r="O39" s="9"/>
      <c r="P39" s="15"/>
      <c r="S39" s="16" t="str">
        <f aca="false">IF(AND(A39="",B39="",D39="",COUNT(G39:I39)=0),"",IF(D39="","Missing shooter",IF(A39="","Missing date",IF(B39="","Missing event",IF(E39="","Club not in roster (type manually)",IF(COUNT(G39:I39)=0,"No scores entered",IF(O39="","Set status (official/provisional)",IF(COUNTIFS($A$2:$A$101,A39,$B$2:$B$101,B39,$D$2:$D$101,D39)&gt;1,"Duplicate entry","OK to upload"))))))))</f>
        <v/>
      </c>
    </row>
    <row r="40" customFormat="false" ht="15" hidden="false" customHeight="true" outlineLevel="0" collapsed="false">
      <c r="A40" s="8"/>
      <c r="B40" s="9"/>
      <c r="C40" s="9"/>
      <c r="D40" s="9"/>
      <c r="E40" s="10" t="str">
        <f aca="false">IFERROR(IF(D40="","",VLOOKUP(D40,Members!$A$2:$C$16,2,FALSE())),"")</f>
        <v/>
      </c>
      <c r="F40" s="10" t="str">
        <f aca="false">IFERROR(IF(D40="","",VLOOKUP(D40,Members!$A$2:$C$16,3,FALSE())),"")</f>
        <v/>
      </c>
      <c r="G40" s="11"/>
      <c r="H40" s="11"/>
      <c r="I40" s="11"/>
      <c r="J40" s="12"/>
      <c r="K40" s="12"/>
      <c r="L40" s="12"/>
      <c r="M40" s="13" t="str">
        <f aca="false">IF(COUNT(G40:I40)=0,"",SUM(G40:I40))</f>
        <v/>
      </c>
      <c r="N40" s="14" t="str">
        <f aca="false">IF(COUNT(J40:L40)=0,"",SUM(J40:L40))</f>
        <v/>
      </c>
      <c r="O40" s="9"/>
      <c r="P40" s="15"/>
      <c r="S40" s="16" t="str">
        <f aca="false">IF(AND(A40="",B40="",D40="",COUNT(G40:I40)=0),"",IF(D40="","Missing shooter",IF(A40="","Missing date",IF(B40="","Missing event",IF(E40="","Club not in roster (type manually)",IF(COUNT(G40:I40)=0,"No scores entered",IF(O40="","Set status (official/provisional)",IF(COUNTIFS($A$2:$A$101,A40,$B$2:$B$101,B40,$D$2:$D$101,D40)&gt;1,"Duplicate entry","OK to upload"))))))))</f>
        <v/>
      </c>
    </row>
    <row r="41" customFormat="false" ht="15" hidden="false" customHeight="true" outlineLevel="0" collapsed="false">
      <c r="A41" s="8"/>
      <c r="B41" s="9"/>
      <c r="C41" s="9"/>
      <c r="D41" s="9"/>
      <c r="E41" s="10" t="str">
        <f aca="false">IFERROR(IF(D41="","",VLOOKUP(D41,Members!$A$2:$C$16,2,FALSE())),"")</f>
        <v/>
      </c>
      <c r="F41" s="10" t="str">
        <f aca="false">IFERROR(IF(D41="","",VLOOKUP(D41,Members!$A$2:$C$16,3,FALSE())),"")</f>
        <v/>
      </c>
      <c r="G41" s="11"/>
      <c r="H41" s="11"/>
      <c r="I41" s="11"/>
      <c r="J41" s="12"/>
      <c r="K41" s="12"/>
      <c r="L41" s="12"/>
      <c r="M41" s="13" t="str">
        <f aca="false">IF(COUNT(G41:I41)=0,"",SUM(G41:I41))</f>
        <v/>
      </c>
      <c r="N41" s="14" t="str">
        <f aca="false">IF(COUNT(J41:L41)=0,"",SUM(J41:L41))</f>
        <v/>
      </c>
      <c r="O41" s="9"/>
      <c r="P41" s="15"/>
      <c r="S41" s="16" t="str">
        <f aca="false">IF(AND(A41="",B41="",D41="",COUNT(G41:I41)=0),"",IF(D41="","Missing shooter",IF(A41="","Missing date",IF(B41="","Missing event",IF(E41="","Club not in roster (type manually)",IF(COUNT(G41:I41)=0,"No scores entered",IF(O41="","Set status (official/provisional)",IF(COUNTIFS($A$2:$A$101,A41,$B$2:$B$101,B41,$D$2:$D$101,D41)&gt;1,"Duplicate entry","OK to upload"))))))))</f>
        <v/>
      </c>
    </row>
    <row r="42" customFormat="false" ht="15" hidden="false" customHeight="true" outlineLevel="0" collapsed="false">
      <c r="A42" s="8"/>
      <c r="B42" s="9"/>
      <c r="C42" s="9"/>
      <c r="D42" s="9"/>
      <c r="E42" s="10" t="str">
        <f aca="false">IFERROR(IF(D42="","",VLOOKUP(D42,Members!$A$2:$C$16,2,FALSE())),"")</f>
        <v/>
      </c>
      <c r="F42" s="10" t="str">
        <f aca="false">IFERROR(IF(D42="","",VLOOKUP(D42,Members!$A$2:$C$16,3,FALSE())),"")</f>
        <v/>
      </c>
      <c r="G42" s="11"/>
      <c r="H42" s="11"/>
      <c r="I42" s="11"/>
      <c r="J42" s="12"/>
      <c r="K42" s="12"/>
      <c r="L42" s="12"/>
      <c r="M42" s="13" t="str">
        <f aca="false">IF(COUNT(G42:I42)=0,"",SUM(G42:I42))</f>
        <v/>
      </c>
      <c r="N42" s="14" t="str">
        <f aca="false">IF(COUNT(J42:L42)=0,"",SUM(J42:L42))</f>
        <v/>
      </c>
      <c r="O42" s="9"/>
      <c r="P42" s="15"/>
      <c r="S42" s="16" t="str">
        <f aca="false">IF(AND(A42="",B42="",D42="",COUNT(G42:I42)=0),"",IF(D42="","Missing shooter",IF(A42="","Missing date",IF(B42="","Missing event",IF(E42="","Club not in roster (type manually)",IF(COUNT(G42:I42)=0,"No scores entered",IF(O42="","Set status (official/provisional)",IF(COUNTIFS($A$2:$A$101,A42,$B$2:$B$101,B42,$D$2:$D$101,D42)&gt;1,"Duplicate entry","OK to upload"))))))))</f>
        <v/>
      </c>
    </row>
    <row r="43" customFormat="false" ht="15" hidden="false" customHeight="true" outlineLevel="0" collapsed="false">
      <c r="A43" s="8"/>
      <c r="B43" s="9"/>
      <c r="C43" s="9"/>
      <c r="D43" s="9"/>
      <c r="E43" s="10" t="str">
        <f aca="false">IFERROR(IF(D43="","",VLOOKUP(D43,Members!$A$2:$C$16,2,FALSE())),"")</f>
        <v/>
      </c>
      <c r="F43" s="10" t="str">
        <f aca="false">IFERROR(IF(D43="","",VLOOKUP(D43,Members!$A$2:$C$16,3,FALSE())),"")</f>
        <v/>
      </c>
      <c r="G43" s="11"/>
      <c r="H43" s="11"/>
      <c r="I43" s="11"/>
      <c r="J43" s="12"/>
      <c r="K43" s="12"/>
      <c r="L43" s="12"/>
      <c r="M43" s="13" t="str">
        <f aca="false">IF(COUNT(G43:I43)=0,"",SUM(G43:I43))</f>
        <v/>
      </c>
      <c r="N43" s="14" t="str">
        <f aca="false">IF(COUNT(J43:L43)=0,"",SUM(J43:L43))</f>
        <v/>
      </c>
      <c r="O43" s="9"/>
      <c r="P43" s="15"/>
      <c r="S43" s="16" t="str">
        <f aca="false">IF(AND(A43="",B43="",D43="",COUNT(G43:I43)=0),"",IF(D43="","Missing shooter",IF(A43="","Missing date",IF(B43="","Missing event",IF(E43="","Club not in roster (type manually)",IF(COUNT(G43:I43)=0,"No scores entered",IF(O43="","Set status (official/provisional)",IF(COUNTIFS($A$2:$A$101,A43,$B$2:$B$101,B43,$D$2:$D$101,D43)&gt;1,"Duplicate entry","OK to upload"))))))))</f>
        <v/>
      </c>
    </row>
    <row r="44" customFormat="false" ht="15" hidden="false" customHeight="true" outlineLevel="0" collapsed="false">
      <c r="A44" s="8"/>
      <c r="B44" s="9"/>
      <c r="C44" s="9"/>
      <c r="D44" s="9"/>
      <c r="E44" s="10" t="str">
        <f aca="false">IFERROR(IF(D44="","",VLOOKUP(D44,Members!$A$2:$C$16,2,FALSE())),"")</f>
        <v/>
      </c>
      <c r="F44" s="10" t="str">
        <f aca="false">IFERROR(IF(D44="","",VLOOKUP(D44,Members!$A$2:$C$16,3,FALSE())),"")</f>
        <v/>
      </c>
      <c r="G44" s="11"/>
      <c r="H44" s="11"/>
      <c r="I44" s="11"/>
      <c r="J44" s="12"/>
      <c r="K44" s="12"/>
      <c r="L44" s="12"/>
      <c r="M44" s="13" t="str">
        <f aca="false">IF(COUNT(G44:I44)=0,"",SUM(G44:I44))</f>
        <v/>
      </c>
      <c r="N44" s="14" t="str">
        <f aca="false">IF(COUNT(J44:L44)=0,"",SUM(J44:L44))</f>
        <v/>
      </c>
      <c r="O44" s="9"/>
      <c r="P44" s="15"/>
      <c r="S44" s="16" t="str">
        <f aca="false">IF(AND(A44="",B44="",D44="",COUNT(G44:I44)=0),"",IF(D44="","Missing shooter",IF(A44="","Missing date",IF(B44="","Missing event",IF(E44="","Club not in roster (type manually)",IF(COUNT(G44:I44)=0,"No scores entered",IF(O44="","Set status (official/provisional)",IF(COUNTIFS($A$2:$A$101,A44,$B$2:$B$101,B44,$D$2:$D$101,D44)&gt;1,"Duplicate entry","OK to upload"))))))))</f>
        <v/>
      </c>
    </row>
    <row r="45" customFormat="false" ht="15" hidden="false" customHeight="true" outlineLevel="0" collapsed="false">
      <c r="A45" s="8"/>
      <c r="B45" s="9"/>
      <c r="C45" s="9"/>
      <c r="D45" s="9"/>
      <c r="E45" s="10" t="str">
        <f aca="false">IFERROR(IF(D45="","",VLOOKUP(D45,Members!$A$2:$C$16,2,FALSE())),"")</f>
        <v/>
      </c>
      <c r="F45" s="10" t="str">
        <f aca="false">IFERROR(IF(D45="","",VLOOKUP(D45,Members!$A$2:$C$16,3,FALSE())),"")</f>
        <v/>
      </c>
      <c r="G45" s="11"/>
      <c r="H45" s="11"/>
      <c r="I45" s="11"/>
      <c r="J45" s="12"/>
      <c r="K45" s="12"/>
      <c r="L45" s="12"/>
      <c r="M45" s="13" t="str">
        <f aca="false">IF(COUNT(G45:I45)=0,"",SUM(G45:I45))</f>
        <v/>
      </c>
      <c r="N45" s="14" t="str">
        <f aca="false">IF(COUNT(J45:L45)=0,"",SUM(J45:L45))</f>
        <v/>
      </c>
      <c r="O45" s="9"/>
      <c r="P45" s="15"/>
      <c r="S45" s="16" t="str">
        <f aca="false">IF(AND(A45="",B45="",D45="",COUNT(G45:I45)=0),"",IF(D45="","Missing shooter",IF(A45="","Missing date",IF(B45="","Missing event",IF(E45="","Club not in roster (type manually)",IF(COUNT(G45:I45)=0,"No scores entered",IF(O45="","Set status (official/provisional)",IF(COUNTIFS($A$2:$A$101,A45,$B$2:$B$101,B45,$D$2:$D$101,D45)&gt;1,"Duplicate entry","OK to upload"))))))))</f>
        <v/>
      </c>
    </row>
    <row r="46" customFormat="false" ht="15" hidden="false" customHeight="true" outlineLevel="0" collapsed="false">
      <c r="A46" s="8"/>
      <c r="B46" s="9"/>
      <c r="C46" s="9"/>
      <c r="D46" s="9"/>
      <c r="E46" s="10" t="str">
        <f aca="false">IFERROR(IF(D46="","",VLOOKUP(D46,Members!$A$2:$C$16,2,FALSE())),"")</f>
        <v/>
      </c>
      <c r="F46" s="10" t="str">
        <f aca="false">IFERROR(IF(D46="","",VLOOKUP(D46,Members!$A$2:$C$16,3,FALSE())),"")</f>
        <v/>
      </c>
      <c r="G46" s="11"/>
      <c r="H46" s="11"/>
      <c r="I46" s="11"/>
      <c r="J46" s="12"/>
      <c r="K46" s="12"/>
      <c r="L46" s="12"/>
      <c r="M46" s="13" t="str">
        <f aca="false">IF(COUNT(G46:I46)=0,"",SUM(G46:I46))</f>
        <v/>
      </c>
      <c r="N46" s="14" t="str">
        <f aca="false">IF(COUNT(J46:L46)=0,"",SUM(J46:L46))</f>
        <v/>
      </c>
      <c r="O46" s="9"/>
      <c r="P46" s="15"/>
      <c r="S46" s="16" t="str">
        <f aca="false">IF(AND(A46="",B46="",D46="",COUNT(G46:I46)=0),"",IF(D46="","Missing shooter",IF(A46="","Missing date",IF(B46="","Missing event",IF(E46="","Club not in roster (type manually)",IF(COUNT(G46:I46)=0,"No scores entered",IF(O46="","Set status (official/provisional)",IF(COUNTIFS($A$2:$A$101,A46,$B$2:$B$101,B46,$D$2:$D$101,D46)&gt;1,"Duplicate entry","OK to upload"))))))))</f>
        <v/>
      </c>
    </row>
    <row r="47" customFormat="false" ht="15" hidden="false" customHeight="true" outlineLevel="0" collapsed="false">
      <c r="A47" s="8"/>
      <c r="B47" s="9"/>
      <c r="C47" s="9"/>
      <c r="D47" s="9"/>
      <c r="E47" s="10" t="str">
        <f aca="false">IFERROR(IF(D47="","",VLOOKUP(D47,Members!$A$2:$C$16,2,FALSE())),"")</f>
        <v/>
      </c>
      <c r="F47" s="10" t="str">
        <f aca="false">IFERROR(IF(D47="","",VLOOKUP(D47,Members!$A$2:$C$16,3,FALSE())),"")</f>
        <v/>
      </c>
      <c r="G47" s="11"/>
      <c r="H47" s="11"/>
      <c r="I47" s="11"/>
      <c r="J47" s="12"/>
      <c r="K47" s="12"/>
      <c r="L47" s="12"/>
      <c r="M47" s="13" t="str">
        <f aca="false">IF(COUNT(G47:I47)=0,"",SUM(G47:I47))</f>
        <v/>
      </c>
      <c r="N47" s="14" t="str">
        <f aca="false">IF(COUNT(J47:L47)=0,"",SUM(J47:L47))</f>
        <v/>
      </c>
      <c r="O47" s="9"/>
      <c r="P47" s="15"/>
      <c r="S47" s="16" t="str">
        <f aca="false">IF(AND(A47="",B47="",D47="",COUNT(G47:I47)=0),"",IF(D47="","Missing shooter",IF(A47="","Missing date",IF(B47="","Missing event",IF(E47="","Club not in roster (type manually)",IF(COUNT(G47:I47)=0,"No scores entered",IF(O47="","Set status (official/provisional)",IF(COUNTIFS($A$2:$A$101,A47,$B$2:$B$101,B47,$D$2:$D$101,D47)&gt;1,"Duplicate entry","OK to upload"))))))))</f>
        <v/>
      </c>
    </row>
    <row r="48" customFormat="false" ht="15" hidden="false" customHeight="true" outlineLevel="0" collapsed="false">
      <c r="A48" s="8"/>
      <c r="B48" s="9"/>
      <c r="C48" s="9"/>
      <c r="D48" s="9"/>
      <c r="E48" s="10" t="str">
        <f aca="false">IFERROR(IF(D48="","",VLOOKUP(D48,Members!$A$2:$C$16,2,FALSE())),"")</f>
        <v/>
      </c>
      <c r="F48" s="10" t="str">
        <f aca="false">IFERROR(IF(D48="","",VLOOKUP(D48,Members!$A$2:$C$16,3,FALSE())),"")</f>
        <v/>
      </c>
      <c r="G48" s="11"/>
      <c r="H48" s="11"/>
      <c r="I48" s="11"/>
      <c r="J48" s="12"/>
      <c r="K48" s="12"/>
      <c r="L48" s="12"/>
      <c r="M48" s="13" t="str">
        <f aca="false">IF(COUNT(G48:I48)=0,"",SUM(G48:I48))</f>
        <v/>
      </c>
      <c r="N48" s="14" t="str">
        <f aca="false">IF(COUNT(J48:L48)=0,"",SUM(J48:L48))</f>
        <v/>
      </c>
      <c r="O48" s="9"/>
      <c r="P48" s="15"/>
      <c r="S48" s="16" t="str">
        <f aca="false">IF(AND(A48="",B48="",D48="",COUNT(G48:I48)=0),"",IF(D48="","Missing shooter",IF(A48="","Missing date",IF(B48="","Missing event",IF(E48="","Club not in roster (type manually)",IF(COUNT(G48:I48)=0,"No scores entered",IF(O48="","Set status (official/provisional)",IF(COUNTIFS($A$2:$A$101,A48,$B$2:$B$101,B48,$D$2:$D$101,D48)&gt;1,"Duplicate entry","OK to upload"))))))))</f>
        <v/>
      </c>
    </row>
    <row r="49" customFormat="false" ht="15" hidden="false" customHeight="true" outlineLevel="0" collapsed="false">
      <c r="A49" s="8"/>
      <c r="B49" s="9"/>
      <c r="C49" s="9"/>
      <c r="D49" s="9"/>
      <c r="E49" s="10" t="str">
        <f aca="false">IFERROR(IF(D49="","",VLOOKUP(D49,Members!$A$2:$C$16,2,FALSE())),"")</f>
        <v/>
      </c>
      <c r="F49" s="10" t="str">
        <f aca="false">IFERROR(IF(D49="","",VLOOKUP(D49,Members!$A$2:$C$16,3,FALSE())),"")</f>
        <v/>
      </c>
      <c r="G49" s="11"/>
      <c r="H49" s="11"/>
      <c r="I49" s="11"/>
      <c r="J49" s="12"/>
      <c r="K49" s="12"/>
      <c r="L49" s="12"/>
      <c r="M49" s="13" t="str">
        <f aca="false">IF(COUNT(G49:I49)=0,"",SUM(G49:I49))</f>
        <v/>
      </c>
      <c r="N49" s="14" t="str">
        <f aca="false">IF(COUNT(J49:L49)=0,"",SUM(J49:L49))</f>
        <v/>
      </c>
      <c r="O49" s="9"/>
      <c r="P49" s="15"/>
      <c r="S49" s="16" t="str">
        <f aca="false">IF(AND(A49="",B49="",D49="",COUNT(G49:I49)=0),"",IF(D49="","Missing shooter",IF(A49="","Missing date",IF(B49="","Missing event",IF(E49="","Club not in roster (type manually)",IF(COUNT(G49:I49)=0,"No scores entered",IF(O49="","Set status (official/provisional)",IF(COUNTIFS($A$2:$A$101,A49,$B$2:$B$101,B49,$D$2:$D$101,D49)&gt;1,"Duplicate entry","OK to upload"))))))))</f>
        <v/>
      </c>
    </row>
    <row r="50" customFormat="false" ht="15" hidden="false" customHeight="true" outlineLevel="0" collapsed="false">
      <c r="A50" s="8"/>
      <c r="B50" s="9"/>
      <c r="C50" s="9"/>
      <c r="D50" s="9"/>
      <c r="E50" s="10" t="str">
        <f aca="false">IFERROR(IF(D50="","",VLOOKUP(D50,Members!$A$2:$C$16,2,FALSE())),"")</f>
        <v/>
      </c>
      <c r="F50" s="10" t="str">
        <f aca="false">IFERROR(IF(D50="","",VLOOKUP(D50,Members!$A$2:$C$16,3,FALSE())),"")</f>
        <v/>
      </c>
      <c r="G50" s="11"/>
      <c r="H50" s="11"/>
      <c r="I50" s="11"/>
      <c r="J50" s="12"/>
      <c r="K50" s="12"/>
      <c r="L50" s="12"/>
      <c r="M50" s="13" t="str">
        <f aca="false">IF(COUNT(G50:I50)=0,"",SUM(G50:I50))</f>
        <v/>
      </c>
      <c r="N50" s="14" t="str">
        <f aca="false">IF(COUNT(J50:L50)=0,"",SUM(J50:L50))</f>
        <v/>
      </c>
      <c r="O50" s="9"/>
      <c r="P50" s="15"/>
      <c r="S50" s="16" t="str">
        <f aca="false">IF(AND(A50="",B50="",D50="",COUNT(G50:I50)=0),"",IF(D50="","Missing shooter",IF(A50="","Missing date",IF(B50="","Missing event",IF(E50="","Club not in roster (type manually)",IF(COUNT(G50:I50)=0,"No scores entered",IF(O50="","Set status (official/provisional)",IF(COUNTIFS($A$2:$A$101,A50,$B$2:$B$101,B50,$D$2:$D$101,D50)&gt;1,"Duplicate entry","OK to upload"))))))))</f>
        <v/>
      </c>
    </row>
    <row r="51" customFormat="false" ht="15" hidden="false" customHeight="true" outlineLevel="0" collapsed="false">
      <c r="A51" s="8"/>
      <c r="B51" s="9"/>
      <c r="C51" s="9"/>
      <c r="D51" s="9"/>
      <c r="E51" s="10" t="str">
        <f aca="false">IFERROR(IF(D51="","",VLOOKUP(D51,Members!$A$2:$C$16,2,FALSE())),"")</f>
        <v/>
      </c>
      <c r="F51" s="10" t="str">
        <f aca="false">IFERROR(IF(D51="","",VLOOKUP(D51,Members!$A$2:$C$16,3,FALSE())),"")</f>
        <v/>
      </c>
      <c r="G51" s="11"/>
      <c r="H51" s="11"/>
      <c r="I51" s="11"/>
      <c r="J51" s="12"/>
      <c r="K51" s="12"/>
      <c r="L51" s="12"/>
      <c r="M51" s="13" t="str">
        <f aca="false">IF(COUNT(G51:I51)=0,"",SUM(G51:I51))</f>
        <v/>
      </c>
      <c r="N51" s="14" t="str">
        <f aca="false">IF(COUNT(J51:L51)=0,"",SUM(J51:L51))</f>
        <v/>
      </c>
      <c r="O51" s="9"/>
      <c r="P51" s="15"/>
      <c r="S51" s="16" t="str">
        <f aca="false">IF(AND(A51="",B51="",D51="",COUNT(G51:I51)=0),"",IF(D51="","Missing shooter",IF(A51="","Missing date",IF(B51="","Missing event",IF(E51="","Club not in roster (type manually)",IF(COUNT(G51:I51)=0,"No scores entered",IF(O51="","Set status (official/provisional)",IF(COUNTIFS($A$2:$A$101,A51,$B$2:$B$101,B51,$D$2:$D$101,D51)&gt;1,"Duplicate entry","OK to upload"))))))))</f>
        <v/>
      </c>
    </row>
    <row r="52" customFormat="false" ht="15" hidden="false" customHeight="true" outlineLevel="0" collapsed="false">
      <c r="A52" s="8"/>
      <c r="B52" s="9"/>
      <c r="C52" s="9"/>
      <c r="D52" s="9"/>
      <c r="E52" s="10" t="str">
        <f aca="false">IFERROR(IF(D52="","",VLOOKUP(D52,Members!$A$2:$C$16,2,FALSE())),"")</f>
        <v/>
      </c>
      <c r="F52" s="10" t="str">
        <f aca="false">IFERROR(IF(D52="","",VLOOKUP(D52,Members!$A$2:$C$16,3,FALSE())),"")</f>
        <v/>
      </c>
      <c r="G52" s="11"/>
      <c r="H52" s="11"/>
      <c r="I52" s="11"/>
      <c r="J52" s="12"/>
      <c r="K52" s="12"/>
      <c r="L52" s="12"/>
      <c r="M52" s="13" t="str">
        <f aca="false">IF(COUNT(G52:I52)=0,"",SUM(G52:I52))</f>
        <v/>
      </c>
      <c r="N52" s="14" t="str">
        <f aca="false">IF(COUNT(J52:L52)=0,"",SUM(J52:L52))</f>
        <v/>
      </c>
      <c r="O52" s="9"/>
      <c r="P52" s="15"/>
      <c r="S52" s="16" t="str">
        <f aca="false">IF(AND(A52="",B52="",D52="",COUNT(G52:I52)=0),"",IF(D52="","Missing shooter",IF(A52="","Missing date",IF(B52="","Missing event",IF(E52="","Club not in roster (type manually)",IF(COUNT(G52:I52)=0,"No scores entered",IF(O52="","Set status (official/provisional)",IF(COUNTIFS($A$2:$A$101,A52,$B$2:$B$101,B52,$D$2:$D$101,D52)&gt;1,"Duplicate entry","OK to upload"))))))))</f>
        <v/>
      </c>
    </row>
    <row r="53" customFormat="false" ht="15" hidden="false" customHeight="true" outlineLevel="0" collapsed="false">
      <c r="A53" s="8"/>
      <c r="B53" s="9"/>
      <c r="C53" s="9"/>
      <c r="D53" s="9"/>
      <c r="E53" s="10" t="str">
        <f aca="false">IFERROR(IF(D53="","",VLOOKUP(D53,Members!$A$2:$C$16,2,FALSE())),"")</f>
        <v/>
      </c>
      <c r="F53" s="10" t="str">
        <f aca="false">IFERROR(IF(D53="","",VLOOKUP(D53,Members!$A$2:$C$16,3,FALSE())),"")</f>
        <v/>
      </c>
      <c r="G53" s="11"/>
      <c r="H53" s="11"/>
      <c r="I53" s="11"/>
      <c r="J53" s="12"/>
      <c r="K53" s="12"/>
      <c r="L53" s="12"/>
      <c r="M53" s="13" t="str">
        <f aca="false">IF(COUNT(G53:I53)=0,"",SUM(G53:I53))</f>
        <v/>
      </c>
      <c r="N53" s="14" t="str">
        <f aca="false">IF(COUNT(J53:L53)=0,"",SUM(J53:L53))</f>
        <v/>
      </c>
      <c r="O53" s="9"/>
      <c r="P53" s="15"/>
      <c r="S53" s="16" t="str">
        <f aca="false">IF(AND(A53="",B53="",D53="",COUNT(G53:I53)=0),"",IF(D53="","Missing shooter",IF(A53="","Missing date",IF(B53="","Missing event",IF(E53="","Club not in roster (type manually)",IF(COUNT(G53:I53)=0,"No scores entered",IF(O53="","Set status (official/provisional)",IF(COUNTIFS($A$2:$A$101,A53,$B$2:$B$101,B53,$D$2:$D$101,D53)&gt;1,"Duplicate entry","OK to upload"))))))))</f>
        <v/>
      </c>
    </row>
    <row r="54" customFormat="false" ht="15" hidden="false" customHeight="true" outlineLevel="0" collapsed="false">
      <c r="A54" s="8"/>
      <c r="B54" s="9"/>
      <c r="C54" s="9"/>
      <c r="D54" s="9"/>
      <c r="E54" s="10" t="str">
        <f aca="false">IFERROR(IF(D54="","",VLOOKUP(D54,Members!$A$2:$C$16,2,FALSE())),"")</f>
        <v/>
      </c>
      <c r="F54" s="10" t="str">
        <f aca="false">IFERROR(IF(D54="","",VLOOKUP(D54,Members!$A$2:$C$16,3,FALSE())),"")</f>
        <v/>
      </c>
      <c r="G54" s="11"/>
      <c r="H54" s="11"/>
      <c r="I54" s="11"/>
      <c r="J54" s="12"/>
      <c r="K54" s="12"/>
      <c r="L54" s="12"/>
      <c r="M54" s="13" t="str">
        <f aca="false">IF(COUNT(G54:I54)=0,"",SUM(G54:I54))</f>
        <v/>
      </c>
      <c r="N54" s="14" t="str">
        <f aca="false">IF(COUNT(J54:L54)=0,"",SUM(J54:L54))</f>
        <v/>
      </c>
      <c r="O54" s="9"/>
      <c r="P54" s="15"/>
      <c r="S54" s="16" t="str">
        <f aca="false">IF(AND(A54="",B54="",D54="",COUNT(G54:I54)=0),"",IF(D54="","Missing shooter",IF(A54="","Missing date",IF(B54="","Missing event",IF(E54="","Club not in roster (type manually)",IF(COUNT(G54:I54)=0,"No scores entered",IF(O54="","Set status (official/provisional)",IF(COUNTIFS($A$2:$A$101,A54,$B$2:$B$101,B54,$D$2:$D$101,D54)&gt;1,"Duplicate entry","OK to upload"))))))))</f>
        <v/>
      </c>
    </row>
    <row r="55" customFormat="false" ht="15" hidden="false" customHeight="true" outlineLevel="0" collapsed="false">
      <c r="A55" s="8"/>
      <c r="B55" s="9"/>
      <c r="C55" s="9"/>
      <c r="D55" s="9"/>
      <c r="E55" s="10" t="str">
        <f aca="false">IFERROR(IF(D55="","",VLOOKUP(D55,Members!$A$2:$C$16,2,FALSE())),"")</f>
        <v/>
      </c>
      <c r="F55" s="10" t="str">
        <f aca="false">IFERROR(IF(D55="","",VLOOKUP(D55,Members!$A$2:$C$16,3,FALSE())),"")</f>
        <v/>
      </c>
      <c r="G55" s="11"/>
      <c r="H55" s="11"/>
      <c r="I55" s="11"/>
      <c r="J55" s="12"/>
      <c r="K55" s="12"/>
      <c r="L55" s="12"/>
      <c r="M55" s="13" t="str">
        <f aca="false">IF(COUNT(G55:I55)=0,"",SUM(G55:I55))</f>
        <v/>
      </c>
      <c r="N55" s="14" t="str">
        <f aca="false">IF(COUNT(J55:L55)=0,"",SUM(J55:L55))</f>
        <v/>
      </c>
      <c r="O55" s="9"/>
      <c r="P55" s="15"/>
      <c r="S55" s="16" t="str">
        <f aca="false">IF(AND(A55="",B55="",D55="",COUNT(G55:I55)=0),"",IF(D55="","Missing shooter",IF(A55="","Missing date",IF(B55="","Missing event",IF(E55="","Club not in roster (type manually)",IF(COUNT(G55:I55)=0,"No scores entered",IF(O55="","Set status (official/provisional)",IF(COUNTIFS($A$2:$A$101,A55,$B$2:$B$101,B55,$D$2:$D$101,D55)&gt;1,"Duplicate entry","OK to upload"))))))))</f>
        <v/>
      </c>
    </row>
    <row r="56" customFormat="false" ht="15" hidden="false" customHeight="true" outlineLevel="0" collapsed="false">
      <c r="A56" s="8"/>
      <c r="B56" s="9"/>
      <c r="C56" s="9"/>
      <c r="D56" s="9"/>
      <c r="E56" s="10" t="str">
        <f aca="false">IFERROR(IF(D56="","",VLOOKUP(D56,Members!$A$2:$C$16,2,FALSE())),"")</f>
        <v/>
      </c>
      <c r="F56" s="10" t="str">
        <f aca="false">IFERROR(IF(D56="","",VLOOKUP(D56,Members!$A$2:$C$16,3,FALSE())),"")</f>
        <v/>
      </c>
      <c r="G56" s="11"/>
      <c r="H56" s="11"/>
      <c r="I56" s="11"/>
      <c r="J56" s="12"/>
      <c r="K56" s="12"/>
      <c r="L56" s="12"/>
      <c r="M56" s="13" t="str">
        <f aca="false">IF(COUNT(G56:I56)=0,"",SUM(G56:I56))</f>
        <v/>
      </c>
      <c r="N56" s="14" t="str">
        <f aca="false">IF(COUNT(J56:L56)=0,"",SUM(J56:L56))</f>
        <v/>
      </c>
      <c r="O56" s="9"/>
      <c r="P56" s="15"/>
      <c r="S56" s="16" t="str">
        <f aca="false">IF(AND(A56="",B56="",D56="",COUNT(G56:I56)=0),"",IF(D56="","Missing shooter",IF(A56="","Missing date",IF(B56="","Missing event",IF(E56="","Club not in roster (type manually)",IF(COUNT(G56:I56)=0,"No scores entered",IF(O56="","Set status (official/provisional)",IF(COUNTIFS($A$2:$A$101,A56,$B$2:$B$101,B56,$D$2:$D$101,D56)&gt;1,"Duplicate entry","OK to upload"))))))))</f>
        <v/>
      </c>
    </row>
    <row r="57" customFormat="false" ht="15" hidden="false" customHeight="true" outlineLevel="0" collapsed="false">
      <c r="A57" s="8"/>
      <c r="B57" s="9"/>
      <c r="C57" s="9"/>
      <c r="D57" s="9"/>
      <c r="E57" s="10" t="str">
        <f aca="false">IFERROR(IF(D57="","",VLOOKUP(D57,Members!$A$2:$C$16,2,FALSE())),"")</f>
        <v/>
      </c>
      <c r="F57" s="10" t="str">
        <f aca="false">IFERROR(IF(D57="","",VLOOKUP(D57,Members!$A$2:$C$16,3,FALSE())),"")</f>
        <v/>
      </c>
      <c r="G57" s="11"/>
      <c r="H57" s="11"/>
      <c r="I57" s="11"/>
      <c r="J57" s="12"/>
      <c r="K57" s="12"/>
      <c r="L57" s="12"/>
      <c r="M57" s="13" t="str">
        <f aca="false">IF(COUNT(G57:I57)=0,"",SUM(G57:I57))</f>
        <v/>
      </c>
      <c r="N57" s="14" t="str">
        <f aca="false">IF(COUNT(J57:L57)=0,"",SUM(J57:L57))</f>
        <v/>
      </c>
      <c r="O57" s="9"/>
      <c r="P57" s="15"/>
      <c r="S57" s="16" t="str">
        <f aca="false">IF(AND(A57="",B57="",D57="",COUNT(G57:I57)=0),"",IF(D57="","Missing shooter",IF(A57="","Missing date",IF(B57="","Missing event",IF(E57="","Club not in roster (type manually)",IF(COUNT(G57:I57)=0,"No scores entered",IF(O57="","Set status (official/provisional)",IF(COUNTIFS($A$2:$A$101,A57,$B$2:$B$101,B57,$D$2:$D$101,D57)&gt;1,"Duplicate entry","OK to upload"))))))))</f>
        <v/>
      </c>
    </row>
    <row r="58" customFormat="false" ht="15" hidden="false" customHeight="true" outlineLevel="0" collapsed="false">
      <c r="A58" s="8"/>
      <c r="B58" s="9"/>
      <c r="C58" s="9"/>
      <c r="D58" s="9"/>
      <c r="E58" s="10" t="str">
        <f aca="false">IFERROR(IF(D58="","",VLOOKUP(D58,Members!$A$2:$C$16,2,FALSE())),"")</f>
        <v/>
      </c>
      <c r="F58" s="10" t="str">
        <f aca="false">IFERROR(IF(D58="","",VLOOKUP(D58,Members!$A$2:$C$16,3,FALSE())),"")</f>
        <v/>
      </c>
      <c r="G58" s="11"/>
      <c r="H58" s="11"/>
      <c r="I58" s="11"/>
      <c r="J58" s="12"/>
      <c r="K58" s="12"/>
      <c r="L58" s="12"/>
      <c r="M58" s="13" t="str">
        <f aca="false">IF(COUNT(G58:I58)=0,"",SUM(G58:I58))</f>
        <v/>
      </c>
      <c r="N58" s="14" t="str">
        <f aca="false">IF(COUNT(J58:L58)=0,"",SUM(J58:L58))</f>
        <v/>
      </c>
      <c r="O58" s="9"/>
      <c r="P58" s="15"/>
      <c r="S58" s="16" t="str">
        <f aca="false">IF(AND(A58="",B58="",D58="",COUNT(G58:I58)=0),"",IF(D58="","Missing shooter",IF(A58="","Missing date",IF(B58="","Missing event",IF(E58="","Club not in roster (type manually)",IF(COUNT(G58:I58)=0,"No scores entered",IF(O58="","Set status (official/provisional)",IF(COUNTIFS($A$2:$A$101,A58,$B$2:$B$101,B58,$D$2:$D$101,D58)&gt;1,"Duplicate entry","OK to upload"))))))))</f>
        <v/>
      </c>
    </row>
    <row r="59" customFormat="false" ht="15" hidden="false" customHeight="true" outlineLevel="0" collapsed="false">
      <c r="A59" s="8"/>
      <c r="B59" s="9"/>
      <c r="C59" s="9"/>
      <c r="D59" s="9"/>
      <c r="E59" s="10" t="str">
        <f aca="false">IFERROR(IF(D59="","",VLOOKUP(D59,Members!$A$2:$C$16,2,FALSE())),"")</f>
        <v/>
      </c>
      <c r="F59" s="10" t="str">
        <f aca="false">IFERROR(IF(D59="","",VLOOKUP(D59,Members!$A$2:$C$16,3,FALSE())),"")</f>
        <v/>
      </c>
      <c r="G59" s="11"/>
      <c r="H59" s="11"/>
      <c r="I59" s="11"/>
      <c r="J59" s="12"/>
      <c r="K59" s="12"/>
      <c r="L59" s="12"/>
      <c r="M59" s="13" t="str">
        <f aca="false">IF(COUNT(G59:I59)=0,"",SUM(G59:I59))</f>
        <v/>
      </c>
      <c r="N59" s="14" t="str">
        <f aca="false">IF(COUNT(J59:L59)=0,"",SUM(J59:L59))</f>
        <v/>
      </c>
      <c r="O59" s="9"/>
      <c r="P59" s="15"/>
      <c r="S59" s="16" t="str">
        <f aca="false">IF(AND(A59="",B59="",D59="",COUNT(G59:I59)=0),"",IF(D59="","Missing shooter",IF(A59="","Missing date",IF(B59="","Missing event",IF(E59="","Club not in roster (type manually)",IF(COUNT(G59:I59)=0,"No scores entered",IF(O59="","Set status (official/provisional)",IF(COUNTIFS($A$2:$A$101,A59,$B$2:$B$101,B59,$D$2:$D$101,D59)&gt;1,"Duplicate entry","OK to upload"))))))))</f>
        <v/>
      </c>
    </row>
    <row r="60" customFormat="false" ht="15" hidden="false" customHeight="true" outlineLevel="0" collapsed="false">
      <c r="A60" s="8"/>
      <c r="B60" s="9"/>
      <c r="C60" s="9"/>
      <c r="D60" s="9"/>
      <c r="E60" s="10" t="str">
        <f aca="false">IFERROR(IF(D60="","",VLOOKUP(D60,Members!$A$2:$C$16,2,FALSE())),"")</f>
        <v/>
      </c>
      <c r="F60" s="10" t="str">
        <f aca="false">IFERROR(IF(D60="","",VLOOKUP(D60,Members!$A$2:$C$16,3,FALSE())),"")</f>
        <v/>
      </c>
      <c r="G60" s="11"/>
      <c r="H60" s="11"/>
      <c r="I60" s="11"/>
      <c r="J60" s="12"/>
      <c r="K60" s="12"/>
      <c r="L60" s="12"/>
      <c r="M60" s="13" t="str">
        <f aca="false">IF(COUNT(G60:I60)=0,"",SUM(G60:I60))</f>
        <v/>
      </c>
      <c r="N60" s="14" t="str">
        <f aca="false">IF(COUNT(J60:L60)=0,"",SUM(J60:L60))</f>
        <v/>
      </c>
      <c r="O60" s="9"/>
      <c r="P60" s="15"/>
      <c r="S60" s="16" t="str">
        <f aca="false">IF(AND(A60="",B60="",D60="",COUNT(G60:I60)=0),"",IF(D60="","Missing shooter",IF(A60="","Missing date",IF(B60="","Missing event",IF(E60="","Club not in roster (type manually)",IF(COUNT(G60:I60)=0,"No scores entered",IF(O60="","Set status (official/provisional)",IF(COUNTIFS($A$2:$A$101,A60,$B$2:$B$101,B60,$D$2:$D$101,D60)&gt;1,"Duplicate entry","OK to upload"))))))))</f>
        <v/>
      </c>
    </row>
    <row r="61" customFormat="false" ht="15" hidden="false" customHeight="true" outlineLevel="0" collapsed="false">
      <c r="A61" s="8"/>
      <c r="B61" s="9"/>
      <c r="C61" s="9"/>
      <c r="D61" s="9"/>
      <c r="E61" s="10" t="str">
        <f aca="false">IFERROR(IF(D61="","",VLOOKUP(D61,Members!$A$2:$C$16,2,FALSE())),"")</f>
        <v/>
      </c>
      <c r="F61" s="10" t="str">
        <f aca="false">IFERROR(IF(D61="","",VLOOKUP(D61,Members!$A$2:$C$16,3,FALSE())),"")</f>
        <v/>
      </c>
      <c r="G61" s="11"/>
      <c r="H61" s="11"/>
      <c r="I61" s="11"/>
      <c r="J61" s="12"/>
      <c r="K61" s="12"/>
      <c r="L61" s="12"/>
      <c r="M61" s="13" t="str">
        <f aca="false">IF(COUNT(G61:I61)=0,"",SUM(G61:I61))</f>
        <v/>
      </c>
      <c r="N61" s="14" t="str">
        <f aca="false">IF(COUNT(J61:L61)=0,"",SUM(J61:L61))</f>
        <v/>
      </c>
      <c r="O61" s="9"/>
      <c r="P61" s="15"/>
      <c r="S61" s="16" t="str">
        <f aca="false">IF(AND(A61="",B61="",D61="",COUNT(G61:I61)=0),"",IF(D61="","Missing shooter",IF(A61="","Missing date",IF(B61="","Missing event",IF(E61="","Club not in roster (type manually)",IF(COUNT(G61:I61)=0,"No scores entered",IF(O61="","Set status (official/provisional)",IF(COUNTIFS($A$2:$A$101,A61,$B$2:$B$101,B61,$D$2:$D$101,D61)&gt;1,"Duplicate entry","OK to upload"))))))))</f>
        <v/>
      </c>
    </row>
    <row r="62" customFormat="false" ht="15" hidden="false" customHeight="true" outlineLevel="0" collapsed="false">
      <c r="A62" s="8"/>
      <c r="B62" s="9"/>
      <c r="C62" s="9"/>
      <c r="D62" s="9"/>
      <c r="E62" s="10" t="str">
        <f aca="false">IFERROR(IF(D62="","",VLOOKUP(D62,Members!$A$2:$C$16,2,FALSE())),"")</f>
        <v/>
      </c>
      <c r="F62" s="10" t="str">
        <f aca="false">IFERROR(IF(D62="","",VLOOKUP(D62,Members!$A$2:$C$16,3,FALSE())),"")</f>
        <v/>
      </c>
      <c r="G62" s="11"/>
      <c r="H62" s="11"/>
      <c r="I62" s="11"/>
      <c r="J62" s="12"/>
      <c r="K62" s="12"/>
      <c r="L62" s="12"/>
      <c r="M62" s="13" t="str">
        <f aca="false">IF(COUNT(G62:I62)=0,"",SUM(G62:I62))</f>
        <v/>
      </c>
      <c r="N62" s="14" t="str">
        <f aca="false">IF(COUNT(J62:L62)=0,"",SUM(J62:L62))</f>
        <v/>
      </c>
      <c r="O62" s="9"/>
      <c r="P62" s="15"/>
      <c r="S62" s="16" t="str">
        <f aca="false">IF(AND(A62="",B62="",D62="",COUNT(G62:I62)=0),"",IF(D62="","Missing shooter",IF(A62="","Missing date",IF(B62="","Missing event",IF(E62="","Club not in roster (type manually)",IF(COUNT(G62:I62)=0,"No scores entered",IF(O62="","Set status (official/provisional)",IF(COUNTIFS($A$2:$A$101,A62,$B$2:$B$101,B62,$D$2:$D$101,D62)&gt;1,"Duplicate entry","OK to upload"))))))))</f>
        <v/>
      </c>
    </row>
    <row r="63" customFormat="false" ht="15" hidden="false" customHeight="true" outlineLevel="0" collapsed="false">
      <c r="A63" s="8"/>
      <c r="B63" s="9"/>
      <c r="C63" s="9"/>
      <c r="D63" s="9"/>
      <c r="E63" s="10" t="str">
        <f aca="false">IFERROR(IF(D63="","",VLOOKUP(D63,Members!$A$2:$C$16,2,FALSE())),"")</f>
        <v/>
      </c>
      <c r="F63" s="10" t="str">
        <f aca="false">IFERROR(IF(D63="","",VLOOKUP(D63,Members!$A$2:$C$16,3,FALSE())),"")</f>
        <v/>
      </c>
      <c r="G63" s="11"/>
      <c r="H63" s="11"/>
      <c r="I63" s="11"/>
      <c r="J63" s="12"/>
      <c r="K63" s="12"/>
      <c r="L63" s="12"/>
      <c r="M63" s="13" t="str">
        <f aca="false">IF(COUNT(G63:I63)=0,"",SUM(G63:I63))</f>
        <v/>
      </c>
      <c r="N63" s="14" t="str">
        <f aca="false">IF(COUNT(J63:L63)=0,"",SUM(J63:L63))</f>
        <v/>
      </c>
      <c r="O63" s="9"/>
      <c r="P63" s="15"/>
      <c r="S63" s="16" t="str">
        <f aca="false">IF(AND(A63="",B63="",D63="",COUNT(G63:I63)=0),"",IF(D63="","Missing shooter",IF(A63="","Missing date",IF(B63="","Missing event",IF(E63="","Club not in roster (type manually)",IF(COUNT(G63:I63)=0,"No scores entered",IF(O63="","Set status (official/provisional)",IF(COUNTIFS($A$2:$A$101,A63,$B$2:$B$101,B63,$D$2:$D$101,D63)&gt;1,"Duplicate entry","OK to upload"))))))))</f>
        <v/>
      </c>
    </row>
    <row r="64" customFormat="false" ht="15" hidden="false" customHeight="true" outlineLevel="0" collapsed="false">
      <c r="A64" s="8"/>
      <c r="B64" s="9"/>
      <c r="C64" s="9"/>
      <c r="D64" s="9"/>
      <c r="E64" s="10" t="str">
        <f aca="false">IFERROR(IF(D64="","",VLOOKUP(D64,Members!$A$2:$C$16,2,FALSE())),"")</f>
        <v/>
      </c>
      <c r="F64" s="10" t="str">
        <f aca="false">IFERROR(IF(D64="","",VLOOKUP(D64,Members!$A$2:$C$16,3,FALSE())),"")</f>
        <v/>
      </c>
      <c r="G64" s="11"/>
      <c r="H64" s="11"/>
      <c r="I64" s="11"/>
      <c r="J64" s="12"/>
      <c r="K64" s="12"/>
      <c r="L64" s="12"/>
      <c r="M64" s="13" t="str">
        <f aca="false">IF(COUNT(G64:I64)=0,"",SUM(G64:I64))</f>
        <v/>
      </c>
      <c r="N64" s="14" t="str">
        <f aca="false">IF(COUNT(J64:L64)=0,"",SUM(J64:L64))</f>
        <v/>
      </c>
      <c r="O64" s="9"/>
      <c r="P64" s="15"/>
      <c r="S64" s="16" t="str">
        <f aca="false">IF(AND(A64="",B64="",D64="",COUNT(G64:I64)=0),"",IF(D64="","Missing shooter",IF(A64="","Missing date",IF(B64="","Missing event",IF(E64="","Club not in roster (type manually)",IF(COUNT(G64:I64)=0,"No scores entered",IF(O64="","Set status (official/provisional)",IF(COUNTIFS($A$2:$A$101,A64,$B$2:$B$101,B64,$D$2:$D$101,D64)&gt;1,"Duplicate entry","OK to upload"))))))))</f>
        <v/>
      </c>
    </row>
    <row r="65" customFormat="false" ht="15" hidden="false" customHeight="true" outlineLevel="0" collapsed="false">
      <c r="A65" s="8"/>
      <c r="B65" s="9"/>
      <c r="C65" s="9"/>
      <c r="D65" s="9"/>
      <c r="E65" s="10" t="str">
        <f aca="false">IFERROR(IF(D65="","",VLOOKUP(D65,Members!$A$2:$C$16,2,FALSE())),"")</f>
        <v/>
      </c>
      <c r="F65" s="10" t="str">
        <f aca="false">IFERROR(IF(D65="","",VLOOKUP(D65,Members!$A$2:$C$16,3,FALSE())),"")</f>
        <v/>
      </c>
      <c r="G65" s="11"/>
      <c r="H65" s="11"/>
      <c r="I65" s="11"/>
      <c r="J65" s="12"/>
      <c r="K65" s="12"/>
      <c r="L65" s="12"/>
      <c r="M65" s="13" t="str">
        <f aca="false">IF(COUNT(G65:I65)=0,"",SUM(G65:I65))</f>
        <v/>
      </c>
      <c r="N65" s="14" t="str">
        <f aca="false">IF(COUNT(J65:L65)=0,"",SUM(J65:L65))</f>
        <v/>
      </c>
      <c r="O65" s="9"/>
      <c r="P65" s="15"/>
      <c r="S65" s="16" t="str">
        <f aca="false">IF(AND(A65="",B65="",D65="",COUNT(G65:I65)=0),"",IF(D65="","Missing shooter",IF(A65="","Missing date",IF(B65="","Missing event",IF(E65="","Club not in roster (type manually)",IF(COUNT(G65:I65)=0,"No scores entered",IF(O65="","Set status (official/provisional)",IF(COUNTIFS($A$2:$A$101,A65,$B$2:$B$101,B65,$D$2:$D$101,D65)&gt;1,"Duplicate entry","OK to upload"))))))))</f>
        <v/>
      </c>
    </row>
    <row r="66" customFormat="false" ht="15" hidden="false" customHeight="true" outlineLevel="0" collapsed="false">
      <c r="A66" s="8"/>
      <c r="B66" s="9"/>
      <c r="C66" s="9"/>
      <c r="D66" s="9"/>
      <c r="E66" s="10" t="str">
        <f aca="false">IFERROR(IF(D66="","",VLOOKUP(D66,Members!$A$2:$C$16,2,FALSE())),"")</f>
        <v/>
      </c>
      <c r="F66" s="10" t="str">
        <f aca="false">IFERROR(IF(D66="","",VLOOKUP(D66,Members!$A$2:$C$16,3,FALSE())),"")</f>
        <v/>
      </c>
      <c r="G66" s="11"/>
      <c r="H66" s="11"/>
      <c r="I66" s="11"/>
      <c r="J66" s="12"/>
      <c r="K66" s="12"/>
      <c r="L66" s="12"/>
      <c r="M66" s="13" t="str">
        <f aca="false">IF(COUNT(G66:I66)=0,"",SUM(G66:I66))</f>
        <v/>
      </c>
      <c r="N66" s="14" t="str">
        <f aca="false">IF(COUNT(J66:L66)=0,"",SUM(J66:L66))</f>
        <v/>
      </c>
      <c r="O66" s="9"/>
      <c r="P66" s="15"/>
      <c r="S66" s="16" t="str">
        <f aca="false">IF(AND(A66="",B66="",D66="",COUNT(G66:I66)=0),"",IF(D66="","Missing shooter",IF(A66="","Missing date",IF(B66="","Missing event",IF(E66="","Club not in roster (type manually)",IF(COUNT(G66:I66)=0,"No scores entered",IF(O66="","Set status (official/provisional)",IF(COUNTIFS($A$2:$A$101,A66,$B$2:$B$101,B66,$D$2:$D$101,D66)&gt;1,"Duplicate entry","OK to upload"))))))))</f>
        <v/>
      </c>
    </row>
    <row r="67" customFormat="false" ht="15" hidden="false" customHeight="true" outlineLevel="0" collapsed="false">
      <c r="A67" s="8"/>
      <c r="B67" s="9"/>
      <c r="C67" s="9"/>
      <c r="D67" s="9"/>
      <c r="E67" s="10" t="str">
        <f aca="false">IFERROR(IF(D67="","",VLOOKUP(D67,Members!$A$2:$C$16,2,FALSE())),"")</f>
        <v/>
      </c>
      <c r="F67" s="10" t="str">
        <f aca="false">IFERROR(IF(D67="","",VLOOKUP(D67,Members!$A$2:$C$16,3,FALSE())),"")</f>
        <v/>
      </c>
      <c r="G67" s="11"/>
      <c r="H67" s="11"/>
      <c r="I67" s="11"/>
      <c r="J67" s="12"/>
      <c r="K67" s="12"/>
      <c r="L67" s="12"/>
      <c r="M67" s="13" t="str">
        <f aca="false">IF(COUNT(G67:I67)=0,"",SUM(G67:I67))</f>
        <v/>
      </c>
      <c r="N67" s="14" t="str">
        <f aca="false">IF(COUNT(J67:L67)=0,"",SUM(J67:L67))</f>
        <v/>
      </c>
      <c r="O67" s="9"/>
      <c r="P67" s="15"/>
      <c r="S67" s="16" t="str">
        <f aca="false">IF(AND(A67="",B67="",D67="",COUNT(G67:I67)=0),"",IF(D67="","Missing shooter",IF(A67="","Missing date",IF(B67="","Missing event",IF(E67="","Club not in roster (type manually)",IF(COUNT(G67:I67)=0,"No scores entered",IF(O67="","Set status (official/provisional)",IF(COUNTIFS($A$2:$A$101,A67,$B$2:$B$101,B67,$D$2:$D$101,D67)&gt;1,"Duplicate entry","OK to upload"))))))))</f>
        <v/>
      </c>
    </row>
    <row r="68" customFormat="false" ht="15" hidden="false" customHeight="true" outlineLevel="0" collapsed="false">
      <c r="A68" s="8"/>
      <c r="B68" s="9"/>
      <c r="C68" s="9"/>
      <c r="D68" s="9"/>
      <c r="E68" s="10" t="str">
        <f aca="false">IFERROR(IF(D68="","",VLOOKUP(D68,Members!$A$2:$C$16,2,FALSE())),"")</f>
        <v/>
      </c>
      <c r="F68" s="10" t="str">
        <f aca="false">IFERROR(IF(D68="","",VLOOKUP(D68,Members!$A$2:$C$16,3,FALSE())),"")</f>
        <v/>
      </c>
      <c r="G68" s="11"/>
      <c r="H68" s="11"/>
      <c r="I68" s="11"/>
      <c r="J68" s="12"/>
      <c r="K68" s="12"/>
      <c r="L68" s="12"/>
      <c r="M68" s="13" t="str">
        <f aca="false">IF(COUNT(G68:I68)=0,"",SUM(G68:I68))</f>
        <v/>
      </c>
      <c r="N68" s="14" t="str">
        <f aca="false">IF(COUNT(J68:L68)=0,"",SUM(J68:L68))</f>
        <v/>
      </c>
      <c r="O68" s="9"/>
      <c r="P68" s="15"/>
      <c r="S68" s="16" t="str">
        <f aca="false">IF(AND(A68="",B68="",D68="",COUNT(G68:I68)=0),"",IF(D68="","Missing shooter",IF(A68="","Missing date",IF(B68="","Missing event",IF(E68="","Club not in roster (type manually)",IF(COUNT(G68:I68)=0,"No scores entered",IF(O68="","Set status (official/provisional)",IF(COUNTIFS($A$2:$A$101,A68,$B$2:$B$101,B68,$D$2:$D$101,D68)&gt;1,"Duplicate entry","OK to upload"))))))))</f>
        <v/>
      </c>
    </row>
    <row r="69" customFormat="false" ht="15" hidden="false" customHeight="true" outlineLevel="0" collapsed="false">
      <c r="A69" s="8"/>
      <c r="B69" s="9"/>
      <c r="C69" s="9"/>
      <c r="D69" s="9"/>
      <c r="E69" s="10" t="str">
        <f aca="false">IFERROR(IF(D69="","",VLOOKUP(D69,Members!$A$2:$C$16,2,FALSE())),"")</f>
        <v/>
      </c>
      <c r="F69" s="10" t="str">
        <f aca="false">IFERROR(IF(D69="","",VLOOKUP(D69,Members!$A$2:$C$16,3,FALSE())),"")</f>
        <v/>
      </c>
      <c r="G69" s="11"/>
      <c r="H69" s="11"/>
      <c r="I69" s="11"/>
      <c r="J69" s="12"/>
      <c r="K69" s="12"/>
      <c r="L69" s="12"/>
      <c r="M69" s="13" t="str">
        <f aca="false">IF(COUNT(G69:I69)=0,"",SUM(G69:I69))</f>
        <v/>
      </c>
      <c r="N69" s="14" t="str">
        <f aca="false">IF(COUNT(J69:L69)=0,"",SUM(J69:L69))</f>
        <v/>
      </c>
      <c r="O69" s="9"/>
      <c r="P69" s="15"/>
      <c r="S69" s="16" t="str">
        <f aca="false">IF(AND(A69="",B69="",D69="",COUNT(G69:I69)=0),"",IF(D69="","Missing shooter",IF(A69="","Missing date",IF(B69="","Missing event",IF(E69="","Club not in roster (type manually)",IF(COUNT(G69:I69)=0,"No scores entered",IF(O69="","Set status (official/provisional)",IF(COUNTIFS($A$2:$A$101,A69,$B$2:$B$101,B69,$D$2:$D$101,D69)&gt;1,"Duplicate entry","OK to upload"))))))))</f>
        <v/>
      </c>
    </row>
    <row r="70" customFormat="false" ht="15" hidden="false" customHeight="true" outlineLevel="0" collapsed="false">
      <c r="A70" s="8"/>
      <c r="B70" s="9"/>
      <c r="C70" s="9"/>
      <c r="D70" s="9"/>
      <c r="E70" s="10" t="str">
        <f aca="false">IFERROR(IF(D70="","",VLOOKUP(D70,Members!$A$2:$C$16,2,FALSE())),"")</f>
        <v/>
      </c>
      <c r="F70" s="10" t="str">
        <f aca="false">IFERROR(IF(D70="","",VLOOKUP(D70,Members!$A$2:$C$16,3,FALSE())),"")</f>
        <v/>
      </c>
      <c r="G70" s="11"/>
      <c r="H70" s="11"/>
      <c r="I70" s="11"/>
      <c r="J70" s="12"/>
      <c r="K70" s="12"/>
      <c r="L70" s="12"/>
      <c r="M70" s="13" t="str">
        <f aca="false">IF(COUNT(G70:I70)=0,"",SUM(G70:I70))</f>
        <v/>
      </c>
      <c r="N70" s="14" t="str">
        <f aca="false">IF(COUNT(J70:L70)=0,"",SUM(J70:L70))</f>
        <v/>
      </c>
      <c r="O70" s="9"/>
      <c r="P70" s="15"/>
      <c r="S70" s="16" t="str">
        <f aca="false">IF(AND(A70="",B70="",D70="",COUNT(G70:I70)=0),"",IF(D70="","Missing shooter",IF(A70="","Missing date",IF(B70="","Missing event",IF(E70="","Club not in roster (type manually)",IF(COUNT(G70:I70)=0,"No scores entered",IF(O70="","Set status (official/provisional)",IF(COUNTIFS($A$2:$A$101,A70,$B$2:$B$101,B70,$D$2:$D$101,D70)&gt;1,"Duplicate entry","OK to upload"))))))))</f>
        <v/>
      </c>
    </row>
    <row r="71" customFormat="false" ht="15" hidden="false" customHeight="true" outlineLevel="0" collapsed="false">
      <c r="A71" s="8"/>
      <c r="B71" s="9"/>
      <c r="C71" s="9"/>
      <c r="D71" s="9"/>
      <c r="E71" s="10" t="str">
        <f aca="false">IFERROR(IF(D71="","",VLOOKUP(D71,Members!$A$2:$C$16,2,FALSE())),"")</f>
        <v/>
      </c>
      <c r="F71" s="10" t="str">
        <f aca="false">IFERROR(IF(D71="","",VLOOKUP(D71,Members!$A$2:$C$16,3,FALSE())),"")</f>
        <v/>
      </c>
      <c r="G71" s="11"/>
      <c r="H71" s="11"/>
      <c r="I71" s="11"/>
      <c r="J71" s="12"/>
      <c r="K71" s="12"/>
      <c r="L71" s="12"/>
      <c r="M71" s="13" t="str">
        <f aca="false">IF(COUNT(G71:I71)=0,"",SUM(G71:I71))</f>
        <v/>
      </c>
      <c r="N71" s="14" t="str">
        <f aca="false">IF(COUNT(J71:L71)=0,"",SUM(J71:L71))</f>
        <v/>
      </c>
      <c r="O71" s="9"/>
      <c r="P71" s="15"/>
      <c r="S71" s="16" t="str">
        <f aca="false">IF(AND(A71="",B71="",D71="",COUNT(G71:I71)=0),"",IF(D71="","Missing shooter",IF(A71="","Missing date",IF(B71="","Missing event",IF(E71="","Club not in roster (type manually)",IF(COUNT(G71:I71)=0,"No scores entered",IF(O71="","Set status (official/provisional)",IF(COUNTIFS($A$2:$A$101,A71,$B$2:$B$101,B71,$D$2:$D$101,D71)&gt;1,"Duplicate entry","OK to upload"))))))))</f>
        <v/>
      </c>
    </row>
    <row r="72" customFormat="false" ht="15" hidden="false" customHeight="true" outlineLevel="0" collapsed="false">
      <c r="A72" s="8"/>
      <c r="B72" s="9"/>
      <c r="C72" s="9"/>
      <c r="D72" s="9"/>
      <c r="E72" s="10" t="str">
        <f aca="false">IFERROR(IF(D72="","",VLOOKUP(D72,Members!$A$2:$C$16,2,FALSE())),"")</f>
        <v/>
      </c>
      <c r="F72" s="10" t="str">
        <f aca="false">IFERROR(IF(D72="","",VLOOKUP(D72,Members!$A$2:$C$16,3,FALSE())),"")</f>
        <v/>
      </c>
      <c r="G72" s="11"/>
      <c r="H72" s="11"/>
      <c r="I72" s="11"/>
      <c r="J72" s="12"/>
      <c r="K72" s="12"/>
      <c r="L72" s="12"/>
      <c r="M72" s="13" t="str">
        <f aca="false">IF(COUNT(G72:I72)=0,"",SUM(G72:I72))</f>
        <v/>
      </c>
      <c r="N72" s="14" t="str">
        <f aca="false">IF(COUNT(J72:L72)=0,"",SUM(J72:L72))</f>
        <v/>
      </c>
      <c r="O72" s="9"/>
      <c r="P72" s="15"/>
      <c r="S72" s="16" t="str">
        <f aca="false">IF(AND(A72="",B72="",D72="",COUNT(G72:I72)=0),"",IF(D72="","Missing shooter",IF(A72="","Missing date",IF(B72="","Missing event",IF(E72="","Club not in roster (type manually)",IF(COUNT(G72:I72)=0,"No scores entered",IF(O72="","Set status (official/provisional)",IF(COUNTIFS($A$2:$A$101,A72,$B$2:$B$101,B72,$D$2:$D$101,D72)&gt;1,"Duplicate entry","OK to upload"))))))))</f>
        <v/>
      </c>
    </row>
    <row r="73" customFormat="false" ht="15" hidden="false" customHeight="true" outlineLevel="0" collapsed="false">
      <c r="A73" s="8"/>
      <c r="B73" s="9"/>
      <c r="C73" s="9"/>
      <c r="D73" s="9"/>
      <c r="E73" s="10" t="str">
        <f aca="false">IFERROR(IF(D73="","",VLOOKUP(D73,Members!$A$2:$C$16,2,FALSE())),"")</f>
        <v/>
      </c>
      <c r="F73" s="10" t="str">
        <f aca="false">IFERROR(IF(D73="","",VLOOKUP(D73,Members!$A$2:$C$16,3,FALSE())),"")</f>
        <v/>
      </c>
      <c r="G73" s="11"/>
      <c r="H73" s="11"/>
      <c r="I73" s="11"/>
      <c r="J73" s="12"/>
      <c r="K73" s="12"/>
      <c r="L73" s="12"/>
      <c r="M73" s="13" t="str">
        <f aca="false">IF(COUNT(G73:I73)=0,"",SUM(G73:I73))</f>
        <v/>
      </c>
      <c r="N73" s="14" t="str">
        <f aca="false">IF(COUNT(J73:L73)=0,"",SUM(J73:L73))</f>
        <v/>
      </c>
      <c r="O73" s="9"/>
      <c r="P73" s="15"/>
      <c r="S73" s="16" t="str">
        <f aca="false">IF(AND(A73="",B73="",D73="",COUNT(G73:I73)=0),"",IF(D73="","Missing shooter",IF(A73="","Missing date",IF(B73="","Missing event",IF(E73="","Club not in roster (type manually)",IF(COUNT(G73:I73)=0,"No scores entered",IF(O73="","Set status (official/provisional)",IF(COUNTIFS($A$2:$A$101,A73,$B$2:$B$101,B73,$D$2:$D$101,D73)&gt;1,"Duplicate entry","OK to upload"))))))))</f>
        <v/>
      </c>
    </row>
    <row r="74" customFormat="false" ht="15" hidden="false" customHeight="true" outlineLevel="0" collapsed="false">
      <c r="A74" s="8"/>
      <c r="B74" s="9"/>
      <c r="C74" s="9"/>
      <c r="D74" s="9"/>
      <c r="E74" s="10" t="str">
        <f aca="false">IFERROR(IF(D74="","",VLOOKUP(D74,Members!$A$2:$C$16,2,FALSE())),"")</f>
        <v/>
      </c>
      <c r="F74" s="10" t="str">
        <f aca="false">IFERROR(IF(D74="","",VLOOKUP(D74,Members!$A$2:$C$16,3,FALSE())),"")</f>
        <v/>
      </c>
      <c r="G74" s="11"/>
      <c r="H74" s="11"/>
      <c r="I74" s="11"/>
      <c r="J74" s="12"/>
      <c r="K74" s="12"/>
      <c r="L74" s="12"/>
      <c r="M74" s="13" t="str">
        <f aca="false">IF(COUNT(G74:I74)=0,"",SUM(G74:I74))</f>
        <v/>
      </c>
      <c r="N74" s="14" t="str">
        <f aca="false">IF(COUNT(J74:L74)=0,"",SUM(J74:L74))</f>
        <v/>
      </c>
      <c r="O74" s="9"/>
      <c r="P74" s="15"/>
      <c r="S74" s="16" t="str">
        <f aca="false">IF(AND(A74="",B74="",D74="",COUNT(G74:I74)=0),"",IF(D74="","Missing shooter",IF(A74="","Missing date",IF(B74="","Missing event",IF(E74="","Club not in roster (type manually)",IF(COUNT(G74:I74)=0,"No scores entered",IF(O74="","Set status (official/provisional)",IF(COUNTIFS($A$2:$A$101,A74,$B$2:$B$101,B74,$D$2:$D$101,D74)&gt;1,"Duplicate entry","OK to upload"))))))))</f>
        <v/>
      </c>
    </row>
    <row r="75" customFormat="false" ht="15" hidden="false" customHeight="true" outlineLevel="0" collapsed="false">
      <c r="A75" s="8"/>
      <c r="B75" s="9"/>
      <c r="C75" s="9"/>
      <c r="D75" s="9"/>
      <c r="E75" s="10" t="str">
        <f aca="false">IFERROR(IF(D75="","",VLOOKUP(D75,Members!$A$2:$C$16,2,FALSE())),"")</f>
        <v/>
      </c>
      <c r="F75" s="10" t="str">
        <f aca="false">IFERROR(IF(D75="","",VLOOKUP(D75,Members!$A$2:$C$16,3,FALSE())),"")</f>
        <v/>
      </c>
      <c r="G75" s="11"/>
      <c r="H75" s="11"/>
      <c r="I75" s="11"/>
      <c r="J75" s="12"/>
      <c r="K75" s="12"/>
      <c r="L75" s="12"/>
      <c r="M75" s="13" t="str">
        <f aca="false">IF(COUNT(G75:I75)=0,"",SUM(G75:I75))</f>
        <v/>
      </c>
      <c r="N75" s="14" t="str">
        <f aca="false">IF(COUNT(J75:L75)=0,"",SUM(J75:L75))</f>
        <v/>
      </c>
      <c r="O75" s="9"/>
      <c r="P75" s="15"/>
      <c r="S75" s="16" t="str">
        <f aca="false">IF(AND(A75="",B75="",D75="",COUNT(G75:I75)=0),"",IF(D75="","Missing shooter",IF(A75="","Missing date",IF(B75="","Missing event",IF(E75="","Club not in roster (type manually)",IF(COUNT(G75:I75)=0,"No scores entered",IF(O75="","Set status (official/provisional)",IF(COUNTIFS($A$2:$A$101,A75,$B$2:$B$101,B75,$D$2:$D$101,D75)&gt;1,"Duplicate entry","OK to upload"))))))))</f>
        <v/>
      </c>
    </row>
    <row r="76" customFormat="false" ht="15" hidden="false" customHeight="true" outlineLevel="0" collapsed="false">
      <c r="A76" s="8"/>
      <c r="B76" s="9"/>
      <c r="C76" s="9"/>
      <c r="D76" s="9"/>
      <c r="E76" s="10" t="str">
        <f aca="false">IFERROR(IF(D76="","",VLOOKUP(D76,Members!$A$2:$C$16,2,FALSE())),"")</f>
        <v/>
      </c>
      <c r="F76" s="10" t="str">
        <f aca="false">IFERROR(IF(D76="","",VLOOKUP(D76,Members!$A$2:$C$16,3,FALSE())),"")</f>
        <v/>
      </c>
      <c r="G76" s="11"/>
      <c r="H76" s="11"/>
      <c r="I76" s="11"/>
      <c r="J76" s="12"/>
      <c r="K76" s="12"/>
      <c r="L76" s="12"/>
      <c r="M76" s="13" t="str">
        <f aca="false">IF(COUNT(G76:I76)=0,"",SUM(G76:I76))</f>
        <v/>
      </c>
      <c r="N76" s="14" t="str">
        <f aca="false">IF(COUNT(J76:L76)=0,"",SUM(J76:L76))</f>
        <v/>
      </c>
      <c r="O76" s="9"/>
      <c r="P76" s="15"/>
      <c r="S76" s="16" t="str">
        <f aca="false">IF(AND(A76="",B76="",D76="",COUNT(G76:I76)=0),"",IF(D76="","Missing shooter",IF(A76="","Missing date",IF(B76="","Missing event",IF(E76="","Club not in roster (type manually)",IF(COUNT(G76:I76)=0,"No scores entered",IF(O76="","Set status (official/provisional)",IF(COUNTIFS($A$2:$A$101,A76,$B$2:$B$101,B76,$D$2:$D$101,D76)&gt;1,"Duplicate entry","OK to upload"))))))))</f>
        <v/>
      </c>
    </row>
    <row r="77" customFormat="false" ht="15" hidden="false" customHeight="true" outlineLevel="0" collapsed="false">
      <c r="A77" s="8"/>
      <c r="B77" s="9"/>
      <c r="C77" s="9"/>
      <c r="D77" s="9"/>
      <c r="E77" s="10" t="str">
        <f aca="false">IFERROR(IF(D77="","",VLOOKUP(D77,Members!$A$2:$C$16,2,FALSE())),"")</f>
        <v/>
      </c>
      <c r="F77" s="10" t="str">
        <f aca="false">IFERROR(IF(D77="","",VLOOKUP(D77,Members!$A$2:$C$16,3,FALSE())),"")</f>
        <v/>
      </c>
      <c r="G77" s="11"/>
      <c r="H77" s="11"/>
      <c r="I77" s="11"/>
      <c r="J77" s="12"/>
      <c r="K77" s="12"/>
      <c r="L77" s="12"/>
      <c r="M77" s="13" t="str">
        <f aca="false">IF(COUNT(G77:I77)=0,"",SUM(G77:I77))</f>
        <v/>
      </c>
      <c r="N77" s="14" t="str">
        <f aca="false">IF(COUNT(J77:L77)=0,"",SUM(J77:L77))</f>
        <v/>
      </c>
      <c r="O77" s="9"/>
      <c r="P77" s="15"/>
      <c r="S77" s="16" t="str">
        <f aca="false">IF(AND(A77="",B77="",D77="",COUNT(G77:I77)=0),"",IF(D77="","Missing shooter",IF(A77="","Missing date",IF(B77="","Missing event",IF(E77="","Club not in roster (type manually)",IF(COUNT(G77:I77)=0,"No scores entered",IF(O77="","Set status (official/provisional)",IF(COUNTIFS($A$2:$A$101,A77,$B$2:$B$101,B77,$D$2:$D$101,D77)&gt;1,"Duplicate entry","OK to upload"))))))))</f>
        <v/>
      </c>
    </row>
    <row r="78" customFormat="false" ht="15" hidden="false" customHeight="true" outlineLevel="0" collapsed="false">
      <c r="A78" s="8"/>
      <c r="B78" s="9"/>
      <c r="C78" s="9"/>
      <c r="D78" s="9"/>
      <c r="E78" s="10" t="str">
        <f aca="false">IFERROR(IF(D78="","",VLOOKUP(D78,Members!$A$2:$C$16,2,FALSE())),"")</f>
        <v/>
      </c>
      <c r="F78" s="10" t="str">
        <f aca="false">IFERROR(IF(D78="","",VLOOKUP(D78,Members!$A$2:$C$16,3,FALSE())),"")</f>
        <v/>
      </c>
      <c r="G78" s="11"/>
      <c r="H78" s="11"/>
      <c r="I78" s="11"/>
      <c r="J78" s="12"/>
      <c r="K78" s="12"/>
      <c r="L78" s="12"/>
      <c r="M78" s="13" t="str">
        <f aca="false">IF(COUNT(G78:I78)=0,"",SUM(G78:I78))</f>
        <v/>
      </c>
      <c r="N78" s="14" t="str">
        <f aca="false">IF(COUNT(J78:L78)=0,"",SUM(J78:L78))</f>
        <v/>
      </c>
      <c r="O78" s="9"/>
      <c r="P78" s="15"/>
      <c r="S78" s="16" t="str">
        <f aca="false">IF(AND(A78="",B78="",D78="",COUNT(G78:I78)=0),"",IF(D78="","Missing shooter",IF(A78="","Missing date",IF(B78="","Missing event",IF(E78="","Club not in roster (type manually)",IF(COUNT(G78:I78)=0,"No scores entered",IF(O78="","Set status (official/provisional)",IF(COUNTIFS($A$2:$A$101,A78,$B$2:$B$101,B78,$D$2:$D$101,D78)&gt;1,"Duplicate entry","OK to upload"))))))))</f>
        <v/>
      </c>
    </row>
    <row r="79" customFormat="false" ht="15" hidden="false" customHeight="true" outlineLevel="0" collapsed="false">
      <c r="A79" s="8"/>
      <c r="B79" s="9"/>
      <c r="C79" s="9"/>
      <c r="D79" s="9"/>
      <c r="E79" s="10" t="str">
        <f aca="false">IFERROR(IF(D79="","",VLOOKUP(D79,Members!$A$2:$C$16,2,FALSE())),"")</f>
        <v/>
      </c>
      <c r="F79" s="10" t="str">
        <f aca="false">IFERROR(IF(D79="","",VLOOKUP(D79,Members!$A$2:$C$16,3,FALSE())),"")</f>
        <v/>
      </c>
      <c r="G79" s="11"/>
      <c r="H79" s="11"/>
      <c r="I79" s="11"/>
      <c r="J79" s="12"/>
      <c r="K79" s="12"/>
      <c r="L79" s="12"/>
      <c r="M79" s="13" t="str">
        <f aca="false">IF(COUNT(G79:I79)=0,"",SUM(G79:I79))</f>
        <v/>
      </c>
      <c r="N79" s="14" t="str">
        <f aca="false">IF(COUNT(J79:L79)=0,"",SUM(J79:L79))</f>
        <v/>
      </c>
      <c r="O79" s="9"/>
      <c r="P79" s="15"/>
      <c r="S79" s="16" t="str">
        <f aca="false">IF(AND(A79="",B79="",D79="",COUNT(G79:I79)=0),"",IF(D79="","Missing shooter",IF(A79="","Missing date",IF(B79="","Missing event",IF(E79="","Club not in roster (type manually)",IF(COUNT(G79:I79)=0,"No scores entered",IF(O79="","Set status (official/provisional)",IF(COUNTIFS($A$2:$A$101,A79,$B$2:$B$101,B79,$D$2:$D$101,D79)&gt;1,"Duplicate entry","OK to upload"))))))))</f>
        <v/>
      </c>
    </row>
    <row r="80" customFormat="false" ht="15" hidden="false" customHeight="true" outlineLevel="0" collapsed="false">
      <c r="A80" s="8"/>
      <c r="B80" s="9"/>
      <c r="C80" s="9"/>
      <c r="D80" s="9"/>
      <c r="E80" s="10" t="str">
        <f aca="false">IFERROR(IF(D80="","",VLOOKUP(D80,Members!$A$2:$C$16,2,FALSE())),"")</f>
        <v/>
      </c>
      <c r="F80" s="10" t="str">
        <f aca="false">IFERROR(IF(D80="","",VLOOKUP(D80,Members!$A$2:$C$16,3,FALSE())),"")</f>
        <v/>
      </c>
      <c r="G80" s="11"/>
      <c r="H80" s="11"/>
      <c r="I80" s="11"/>
      <c r="J80" s="12"/>
      <c r="K80" s="12"/>
      <c r="L80" s="12"/>
      <c r="M80" s="13" t="str">
        <f aca="false">IF(COUNT(G80:I80)=0,"",SUM(G80:I80))</f>
        <v/>
      </c>
      <c r="N80" s="14" t="str">
        <f aca="false">IF(COUNT(J80:L80)=0,"",SUM(J80:L80))</f>
        <v/>
      </c>
      <c r="O80" s="9"/>
      <c r="P80" s="15"/>
      <c r="S80" s="16" t="str">
        <f aca="false">IF(AND(A80="",B80="",D80="",COUNT(G80:I80)=0),"",IF(D80="","Missing shooter",IF(A80="","Missing date",IF(B80="","Missing event",IF(E80="","Club not in roster (type manually)",IF(COUNT(G80:I80)=0,"No scores entered",IF(O80="","Set status (official/provisional)",IF(COUNTIFS($A$2:$A$101,A80,$B$2:$B$101,B80,$D$2:$D$101,D80)&gt;1,"Duplicate entry","OK to upload"))))))))</f>
        <v/>
      </c>
    </row>
    <row r="81" customFormat="false" ht="15" hidden="false" customHeight="true" outlineLevel="0" collapsed="false">
      <c r="A81" s="8"/>
      <c r="B81" s="9"/>
      <c r="C81" s="9"/>
      <c r="D81" s="9"/>
      <c r="E81" s="10" t="str">
        <f aca="false">IFERROR(IF(D81="","",VLOOKUP(D81,Members!$A$2:$C$16,2,FALSE())),"")</f>
        <v/>
      </c>
      <c r="F81" s="10" t="str">
        <f aca="false">IFERROR(IF(D81="","",VLOOKUP(D81,Members!$A$2:$C$16,3,FALSE())),"")</f>
        <v/>
      </c>
      <c r="G81" s="11"/>
      <c r="H81" s="11"/>
      <c r="I81" s="11"/>
      <c r="J81" s="12"/>
      <c r="K81" s="12"/>
      <c r="L81" s="12"/>
      <c r="M81" s="13" t="str">
        <f aca="false">IF(COUNT(G81:I81)=0,"",SUM(G81:I81))</f>
        <v/>
      </c>
      <c r="N81" s="14" t="str">
        <f aca="false">IF(COUNT(J81:L81)=0,"",SUM(J81:L81))</f>
        <v/>
      </c>
      <c r="O81" s="9"/>
      <c r="P81" s="15"/>
      <c r="S81" s="16" t="str">
        <f aca="false">IF(AND(A81="",B81="",D81="",COUNT(G81:I81)=0),"",IF(D81="","Missing shooter",IF(A81="","Missing date",IF(B81="","Missing event",IF(E81="","Club not in roster (type manually)",IF(COUNT(G81:I81)=0,"No scores entered",IF(O81="","Set status (official/provisional)",IF(COUNTIFS($A$2:$A$101,A81,$B$2:$B$101,B81,$D$2:$D$101,D81)&gt;1,"Duplicate entry","OK to upload"))))))))</f>
        <v/>
      </c>
    </row>
    <row r="82" customFormat="false" ht="15" hidden="false" customHeight="true" outlineLevel="0" collapsed="false">
      <c r="A82" s="8"/>
      <c r="B82" s="9"/>
      <c r="C82" s="9"/>
      <c r="D82" s="9"/>
      <c r="E82" s="10" t="str">
        <f aca="false">IFERROR(IF(D82="","",VLOOKUP(D82,Members!$A$2:$C$16,2,FALSE())),"")</f>
        <v/>
      </c>
      <c r="F82" s="10" t="str">
        <f aca="false">IFERROR(IF(D82="","",VLOOKUP(D82,Members!$A$2:$C$16,3,FALSE())),"")</f>
        <v/>
      </c>
      <c r="G82" s="11"/>
      <c r="H82" s="11"/>
      <c r="I82" s="11"/>
      <c r="J82" s="12"/>
      <c r="K82" s="12"/>
      <c r="L82" s="12"/>
      <c r="M82" s="13" t="str">
        <f aca="false">IF(COUNT(G82:I82)=0,"",SUM(G82:I82))</f>
        <v/>
      </c>
      <c r="N82" s="14" t="str">
        <f aca="false">IF(COUNT(J82:L82)=0,"",SUM(J82:L82))</f>
        <v/>
      </c>
      <c r="O82" s="9"/>
      <c r="P82" s="15"/>
      <c r="S82" s="16" t="str">
        <f aca="false">IF(AND(A82="",B82="",D82="",COUNT(G82:I82)=0),"",IF(D82="","Missing shooter",IF(A82="","Missing date",IF(B82="","Missing event",IF(E82="","Club not in roster (type manually)",IF(COUNT(G82:I82)=0,"No scores entered",IF(O82="","Set status (official/provisional)",IF(COUNTIFS($A$2:$A$101,A82,$B$2:$B$101,B82,$D$2:$D$101,D82)&gt;1,"Duplicate entry","OK to upload"))))))))</f>
        <v/>
      </c>
    </row>
    <row r="83" customFormat="false" ht="15" hidden="false" customHeight="true" outlineLevel="0" collapsed="false">
      <c r="A83" s="8"/>
      <c r="B83" s="9"/>
      <c r="C83" s="9"/>
      <c r="D83" s="9"/>
      <c r="E83" s="10" t="str">
        <f aca="false">IFERROR(IF(D83="","",VLOOKUP(D83,Members!$A$2:$C$16,2,FALSE())),"")</f>
        <v/>
      </c>
      <c r="F83" s="10" t="str">
        <f aca="false">IFERROR(IF(D83="","",VLOOKUP(D83,Members!$A$2:$C$16,3,FALSE())),"")</f>
        <v/>
      </c>
      <c r="G83" s="11"/>
      <c r="H83" s="11"/>
      <c r="I83" s="11"/>
      <c r="J83" s="12"/>
      <c r="K83" s="12"/>
      <c r="L83" s="12"/>
      <c r="M83" s="13" t="str">
        <f aca="false">IF(COUNT(G83:I83)=0,"",SUM(G83:I83))</f>
        <v/>
      </c>
      <c r="N83" s="14" t="str">
        <f aca="false">IF(COUNT(J83:L83)=0,"",SUM(J83:L83))</f>
        <v/>
      </c>
      <c r="O83" s="9"/>
      <c r="P83" s="15"/>
      <c r="S83" s="16" t="str">
        <f aca="false">IF(AND(A83="",B83="",D83="",COUNT(G83:I83)=0),"",IF(D83="","Missing shooter",IF(A83="","Missing date",IF(B83="","Missing event",IF(E83="","Club not in roster (type manually)",IF(COUNT(G83:I83)=0,"No scores entered",IF(O83="","Set status (official/provisional)",IF(COUNTIFS($A$2:$A$101,A83,$B$2:$B$101,B83,$D$2:$D$101,D83)&gt;1,"Duplicate entry","OK to upload"))))))))</f>
        <v/>
      </c>
    </row>
    <row r="84" customFormat="false" ht="15" hidden="false" customHeight="true" outlineLevel="0" collapsed="false">
      <c r="A84" s="8"/>
      <c r="B84" s="9"/>
      <c r="C84" s="9"/>
      <c r="D84" s="9"/>
      <c r="E84" s="10" t="str">
        <f aca="false">IFERROR(IF(D84="","",VLOOKUP(D84,Members!$A$2:$C$16,2,FALSE())),"")</f>
        <v/>
      </c>
      <c r="F84" s="10" t="str">
        <f aca="false">IFERROR(IF(D84="","",VLOOKUP(D84,Members!$A$2:$C$16,3,FALSE())),"")</f>
        <v/>
      </c>
      <c r="G84" s="11"/>
      <c r="H84" s="11"/>
      <c r="I84" s="11"/>
      <c r="J84" s="12"/>
      <c r="K84" s="12"/>
      <c r="L84" s="12"/>
      <c r="M84" s="13" t="str">
        <f aca="false">IF(COUNT(G84:I84)=0,"",SUM(G84:I84))</f>
        <v/>
      </c>
      <c r="N84" s="14" t="str">
        <f aca="false">IF(COUNT(J84:L84)=0,"",SUM(J84:L84))</f>
        <v/>
      </c>
      <c r="O84" s="9"/>
      <c r="P84" s="15"/>
      <c r="S84" s="16" t="str">
        <f aca="false">IF(AND(A84="",B84="",D84="",COUNT(G84:I84)=0),"",IF(D84="","Missing shooter",IF(A84="","Missing date",IF(B84="","Missing event",IF(E84="","Club not in roster (type manually)",IF(COUNT(G84:I84)=0,"No scores entered",IF(O84="","Set status (official/provisional)",IF(COUNTIFS($A$2:$A$101,A84,$B$2:$B$101,B84,$D$2:$D$101,D84)&gt;1,"Duplicate entry","OK to upload"))))))))</f>
        <v/>
      </c>
    </row>
    <row r="85" customFormat="false" ht="15" hidden="false" customHeight="true" outlineLevel="0" collapsed="false">
      <c r="A85" s="8"/>
      <c r="B85" s="9"/>
      <c r="C85" s="9"/>
      <c r="D85" s="9"/>
      <c r="E85" s="10" t="str">
        <f aca="false">IFERROR(IF(D85="","",VLOOKUP(D85,Members!$A$2:$C$16,2,FALSE())),"")</f>
        <v/>
      </c>
      <c r="F85" s="10" t="str">
        <f aca="false">IFERROR(IF(D85="","",VLOOKUP(D85,Members!$A$2:$C$16,3,FALSE())),"")</f>
        <v/>
      </c>
      <c r="G85" s="11"/>
      <c r="H85" s="11"/>
      <c r="I85" s="11"/>
      <c r="J85" s="12"/>
      <c r="K85" s="12"/>
      <c r="L85" s="12"/>
      <c r="M85" s="13" t="str">
        <f aca="false">IF(COUNT(G85:I85)=0,"",SUM(G85:I85))</f>
        <v/>
      </c>
      <c r="N85" s="14" t="str">
        <f aca="false">IF(COUNT(J85:L85)=0,"",SUM(J85:L85))</f>
        <v/>
      </c>
      <c r="O85" s="9"/>
      <c r="P85" s="15"/>
      <c r="S85" s="16" t="str">
        <f aca="false">IF(AND(A85="",B85="",D85="",COUNT(G85:I85)=0),"",IF(D85="","Missing shooter",IF(A85="","Missing date",IF(B85="","Missing event",IF(E85="","Club not in roster (type manually)",IF(COUNT(G85:I85)=0,"No scores entered",IF(O85="","Set status (official/provisional)",IF(COUNTIFS($A$2:$A$101,A85,$B$2:$B$101,B85,$D$2:$D$101,D85)&gt;1,"Duplicate entry","OK to upload"))))))))</f>
        <v/>
      </c>
    </row>
    <row r="86" customFormat="false" ht="15" hidden="false" customHeight="true" outlineLevel="0" collapsed="false">
      <c r="A86" s="8"/>
      <c r="B86" s="9"/>
      <c r="C86" s="9"/>
      <c r="D86" s="9"/>
      <c r="E86" s="10" t="str">
        <f aca="false">IFERROR(IF(D86="","",VLOOKUP(D86,Members!$A$2:$C$16,2,FALSE())),"")</f>
        <v/>
      </c>
      <c r="F86" s="10" t="str">
        <f aca="false">IFERROR(IF(D86="","",VLOOKUP(D86,Members!$A$2:$C$16,3,FALSE())),"")</f>
        <v/>
      </c>
      <c r="G86" s="11"/>
      <c r="H86" s="11"/>
      <c r="I86" s="11"/>
      <c r="J86" s="12"/>
      <c r="K86" s="12"/>
      <c r="L86" s="12"/>
      <c r="M86" s="13" t="str">
        <f aca="false">IF(COUNT(G86:I86)=0,"",SUM(G86:I86))</f>
        <v/>
      </c>
      <c r="N86" s="14" t="str">
        <f aca="false">IF(COUNT(J86:L86)=0,"",SUM(J86:L86))</f>
        <v/>
      </c>
      <c r="O86" s="9"/>
      <c r="P86" s="15"/>
      <c r="S86" s="16" t="str">
        <f aca="false">IF(AND(A86="",B86="",D86="",COUNT(G86:I86)=0),"",IF(D86="","Missing shooter",IF(A86="","Missing date",IF(B86="","Missing event",IF(E86="","Club not in roster (type manually)",IF(COUNT(G86:I86)=0,"No scores entered",IF(O86="","Set status (official/provisional)",IF(COUNTIFS($A$2:$A$101,A86,$B$2:$B$101,B86,$D$2:$D$101,D86)&gt;1,"Duplicate entry","OK to upload"))))))))</f>
        <v/>
      </c>
    </row>
    <row r="87" customFormat="false" ht="15" hidden="false" customHeight="true" outlineLevel="0" collapsed="false">
      <c r="A87" s="8"/>
      <c r="B87" s="9"/>
      <c r="C87" s="9"/>
      <c r="D87" s="9"/>
      <c r="E87" s="10" t="str">
        <f aca="false">IFERROR(IF(D87="","",VLOOKUP(D87,Members!$A$2:$C$16,2,FALSE())),"")</f>
        <v/>
      </c>
      <c r="F87" s="10" t="str">
        <f aca="false">IFERROR(IF(D87="","",VLOOKUP(D87,Members!$A$2:$C$16,3,FALSE())),"")</f>
        <v/>
      </c>
      <c r="G87" s="11"/>
      <c r="H87" s="11"/>
      <c r="I87" s="11"/>
      <c r="J87" s="12"/>
      <c r="K87" s="12"/>
      <c r="L87" s="12"/>
      <c r="M87" s="13" t="str">
        <f aca="false">IF(COUNT(G87:I87)=0,"",SUM(G87:I87))</f>
        <v/>
      </c>
      <c r="N87" s="14" t="str">
        <f aca="false">IF(COUNT(J87:L87)=0,"",SUM(J87:L87))</f>
        <v/>
      </c>
      <c r="O87" s="9"/>
      <c r="P87" s="15"/>
      <c r="S87" s="16" t="str">
        <f aca="false">IF(AND(A87="",B87="",D87="",COUNT(G87:I87)=0),"",IF(D87="","Missing shooter",IF(A87="","Missing date",IF(B87="","Missing event",IF(E87="","Club not in roster (type manually)",IF(COUNT(G87:I87)=0,"No scores entered",IF(O87="","Set status (official/provisional)",IF(COUNTIFS($A$2:$A$101,A87,$B$2:$B$101,B87,$D$2:$D$101,D87)&gt;1,"Duplicate entry","OK to upload"))))))))</f>
        <v/>
      </c>
    </row>
    <row r="88" customFormat="false" ht="15" hidden="false" customHeight="true" outlineLevel="0" collapsed="false">
      <c r="A88" s="8"/>
      <c r="B88" s="9"/>
      <c r="C88" s="9"/>
      <c r="D88" s="9"/>
      <c r="E88" s="10" t="str">
        <f aca="false">IFERROR(IF(D88="","",VLOOKUP(D88,Members!$A$2:$C$16,2,FALSE())),"")</f>
        <v/>
      </c>
      <c r="F88" s="10" t="str">
        <f aca="false">IFERROR(IF(D88="","",VLOOKUP(D88,Members!$A$2:$C$16,3,FALSE())),"")</f>
        <v/>
      </c>
      <c r="G88" s="11"/>
      <c r="H88" s="11"/>
      <c r="I88" s="11"/>
      <c r="J88" s="12"/>
      <c r="K88" s="12"/>
      <c r="L88" s="12"/>
      <c r="M88" s="13" t="str">
        <f aca="false">IF(COUNT(G88:I88)=0,"",SUM(G88:I88))</f>
        <v/>
      </c>
      <c r="N88" s="14" t="str">
        <f aca="false">IF(COUNT(J88:L88)=0,"",SUM(J88:L88))</f>
        <v/>
      </c>
      <c r="O88" s="9"/>
      <c r="P88" s="15"/>
      <c r="S88" s="16" t="str">
        <f aca="false">IF(AND(A88="",B88="",D88="",COUNT(G88:I88)=0),"",IF(D88="","Missing shooter",IF(A88="","Missing date",IF(B88="","Missing event",IF(E88="","Club not in roster (type manually)",IF(COUNT(G88:I88)=0,"No scores entered",IF(O88="","Set status (official/provisional)",IF(COUNTIFS($A$2:$A$101,A88,$B$2:$B$101,B88,$D$2:$D$101,D88)&gt;1,"Duplicate entry","OK to upload"))))))))</f>
        <v/>
      </c>
    </row>
    <row r="89" customFormat="false" ht="15" hidden="false" customHeight="true" outlineLevel="0" collapsed="false">
      <c r="A89" s="8"/>
      <c r="B89" s="9"/>
      <c r="C89" s="9"/>
      <c r="D89" s="9"/>
      <c r="E89" s="10" t="str">
        <f aca="false">IFERROR(IF(D89="","",VLOOKUP(D89,Members!$A$2:$C$16,2,FALSE())),"")</f>
        <v/>
      </c>
      <c r="F89" s="10" t="str">
        <f aca="false">IFERROR(IF(D89="","",VLOOKUP(D89,Members!$A$2:$C$16,3,FALSE())),"")</f>
        <v/>
      </c>
      <c r="G89" s="11"/>
      <c r="H89" s="11"/>
      <c r="I89" s="11"/>
      <c r="J89" s="12"/>
      <c r="K89" s="12"/>
      <c r="L89" s="12"/>
      <c r="M89" s="13" t="str">
        <f aca="false">IF(COUNT(G89:I89)=0,"",SUM(G89:I89))</f>
        <v/>
      </c>
      <c r="N89" s="14" t="str">
        <f aca="false">IF(COUNT(J89:L89)=0,"",SUM(J89:L89))</f>
        <v/>
      </c>
      <c r="O89" s="9"/>
      <c r="P89" s="15"/>
      <c r="S89" s="16" t="str">
        <f aca="false">IF(AND(A89="",B89="",D89="",COUNT(G89:I89)=0),"",IF(D89="","Missing shooter",IF(A89="","Missing date",IF(B89="","Missing event",IF(E89="","Club not in roster (type manually)",IF(COUNT(G89:I89)=0,"No scores entered",IF(O89="","Set status (official/provisional)",IF(COUNTIFS($A$2:$A$101,A89,$B$2:$B$101,B89,$D$2:$D$101,D89)&gt;1,"Duplicate entry","OK to upload"))))))))</f>
        <v/>
      </c>
    </row>
    <row r="90" customFormat="false" ht="15" hidden="false" customHeight="true" outlineLevel="0" collapsed="false">
      <c r="A90" s="8"/>
      <c r="B90" s="9"/>
      <c r="C90" s="9"/>
      <c r="D90" s="9"/>
      <c r="E90" s="10" t="str">
        <f aca="false">IFERROR(IF(D90="","",VLOOKUP(D90,Members!$A$2:$C$16,2,FALSE())),"")</f>
        <v/>
      </c>
      <c r="F90" s="10" t="str">
        <f aca="false">IFERROR(IF(D90="","",VLOOKUP(D90,Members!$A$2:$C$16,3,FALSE())),"")</f>
        <v/>
      </c>
      <c r="G90" s="11"/>
      <c r="H90" s="11"/>
      <c r="I90" s="11"/>
      <c r="J90" s="12"/>
      <c r="K90" s="12"/>
      <c r="L90" s="12"/>
      <c r="M90" s="13" t="str">
        <f aca="false">IF(COUNT(G90:I90)=0,"",SUM(G90:I90))</f>
        <v/>
      </c>
      <c r="N90" s="14" t="str">
        <f aca="false">IF(COUNT(J90:L90)=0,"",SUM(J90:L90))</f>
        <v/>
      </c>
      <c r="O90" s="9"/>
      <c r="P90" s="15"/>
      <c r="S90" s="16" t="str">
        <f aca="false">IF(AND(A90="",B90="",D90="",COUNT(G90:I90)=0),"",IF(D90="","Missing shooter",IF(A90="","Missing date",IF(B90="","Missing event",IF(E90="","Club not in roster (type manually)",IF(COUNT(G90:I90)=0,"No scores entered",IF(O90="","Set status (official/provisional)",IF(COUNTIFS($A$2:$A$101,A90,$B$2:$B$101,B90,$D$2:$D$101,D90)&gt;1,"Duplicate entry","OK to upload"))))))))</f>
        <v/>
      </c>
    </row>
    <row r="91" customFormat="false" ht="15" hidden="false" customHeight="true" outlineLevel="0" collapsed="false">
      <c r="A91" s="8"/>
      <c r="B91" s="9"/>
      <c r="C91" s="9"/>
      <c r="D91" s="9"/>
      <c r="E91" s="10" t="str">
        <f aca="false">IFERROR(IF(D91="","",VLOOKUP(D91,Members!$A$2:$C$16,2,FALSE())),"")</f>
        <v/>
      </c>
      <c r="F91" s="10" t="str">
        <f aca="false">IFERROR(IF(D91="","",VLOOKUP(D91,Members!$A$2:$C$16,3,FALSE())),"")</f>
        <v/>
      </c>
      <c r="G91" s="11"/>
      <c r="H91" s="11"/>
      <c r="I91" s="11"/>
      <c r="J91" s="12"/>
      <c r="K91" s="12"/>
      <c r="L91" s="12"/>
      <c r="M91" s="13" t="str">
        <f aca="false">IF(COUNT(G91:I91)=0,"",SUM(G91:I91))</f>
        <v/>
      </c>
      <c r="N91" s="14" t="str">
        <f aca="false">IF(COUNT(J91:L91)=0,"",SUM(J91:L91))</f>
        <v/>
      </c>
      <c r="O91" s="9"/>
      <c r="P91" s="15"/>
      <c r="S91" s="16" t="str">
        <f aca="false">IF(AND(A91="",B91="",D91="",COUNT(G91:I91)=0),"",IF(D91="","Missing shooter",IF(A91="","Missing date",IF(B91="","Missing event",IF(E91="","Club not in roster (type manually)",IF(COUNT(G91:I91)=0,"No scores entered",IF(O91="","Set status (official/provisional)",IF(COUNTIFS($A$2:$A$101,A91,$B$2:$B$101,B91,$D$2:$D$101,D91)&gt;1,"Duplicate entry","OK to upload"))))))))</f>
        <v/>
      </c>
    </row>
    <row r="92" customFormat="false" ht="15" hidden="false" customHeight="true" outlineLevel="0" collapsed="false">
      <c r="A92" s="8"/>
      <c r="B92" s="9"/>
      <c r="C92" s="9"/>
      <c r="D92" s="9"/>
      <c r="E92" s="10" t="str">
        <f aca="false">IFERROR(IF(D92="","",VLOOKUP(D92,Members!$A$2:$C$16,2,FALSE())),"")</f>
        <v/>
      </c>
      <c r="F92" s="10" t="str">
        <f aca="false">IFERROR(IF(D92="","",VLOOKUP(D92,Members!$A$2:$C$16,3,FALSE())),"")</f>
        <v/>
      </c>
      <c r="G92" s="11"/>
      <c r="H92" s="11"/>
      <c r="I92" s="11"/>
      <c r="J92" s="12"/>
      <c r="K92" s="12"/>
      <c r="L92" s="12"/>
      <c r="M92" s="13" t="str">
        <f aca="false">IF(COUNT(G92:I92)=0,"",SUM(G92:I92))</f>
        <v/>
      </c>
      <c r="N92" s="14" t="str">
        <f aca="false">IF(COUNT(J92:L92)=0,"",SUM(J92:L92))</f>
        <v/>
      </c>
      <c r="O92" s="9"/>
      <c r="P92" s="15"/>
      <c r="S92" s="16" t="str">
        <f aca="false">IF(AND(A92="",B92="",D92="",COUNT(G92:I92)=0),"",IF(D92="","Missing shooter",IF(A92="","Missing date",IF(B92="","Missing event",IF(E92="","Club not in roster (type manually)",IF(COUNT(G92:I92)=0,"No scores entered",IF(O92="","Set status (official/provisional)",IF(COUNTIFS($A$2:$A$101,A92,$B$2:$B$101,B92,$D$2:$D$101,D92)&gt;1,"Duplicate entry","OK to upload"))))))))</f>
        <v/>
      </c>
    </row>
    <row r="93" customFormat="false" ht="15" hidden="false" customHeight="true" outlineLevel="0" collapsed="false">
      <c r="A93" s="8"/>
      <c r="B93" s="9"/>
      <c r="C93" s="9"/>
      <c r="D93" s="9"/>
      <c r="E93" s="10" t="str">
        <f aca="false">IFERROR(IF(D93="","",VLOOKUP(D93,Members!$A$2:$C$16,2,FALSE())),"")</f>
        <v/>
      </c>
      <c r="F93" s="10" t="str">
        <f aca="false">IFERROR(IF(D93="","",VLOOKUP(D93,Members!$A$2:$C$16,3,FALSE())),"")</f>
        <v/>
      </c>
      <c r="G93" s="11"/>
      <c r="H93" s="11"/>
      <c r="I93" s="11"/>
      <c r="J93" s="12"/>
      <c r="K93" s="12"/>
      <c r="L93" s="12"/>
      <c r="M93" s="13" t="str">
        <f aca="false">IF(COUNT(G93:I93)=0,"",SUM(G93:I93))</f>
        <v/>
      </c>
      <c r="N93" s="14" t="str">
        <f aca="false">IF(COUNT(J93:L93)=0,"",SUM(J93:L93))</f>
        <v/>
      </c>
      <c r="O93" s="9"/>
      <c r="P93" s="15"/>
      <c r="S93" s="16" t="str">
        <f aca="false">IF(AND(A93="",B93="",D93="",COUNT(G93:I93)=0),"",IF(D93="","Missing shooter",IF(A93="","Missing date",IF(B93="","Missing event",IF(E93="","Club not in roster (type manually)",IF(COUNT(G93:I93)=0,"No scores entered",IF(O93="","Set status (official/provisional)",IF(COUNTIFS($A$2:$A$101,A93,$B$2:$B$101,B93,$D$2:$D$101,D93)&gt;1,"Duplicate entry","OK to upload"))))))))</f>
        <v/>
      </c>
    </row>
    <row r="94" customFormat="false" ht="15" hidden="false" customHeight="true" outlineLevel="0" collapsed="false">
      <c r="A94" s="8"/>
      <c r="B94" s="9"/>
      <c r="C94" s="9"/>
      <c r="D94" s="9"/>
      <c r="E94" s="10" t="str">
        <f aca="false">IFERROR(IF(D94="","",VLOOKUP(D94,Members!$A$2:$C$16,2,FALSE())),"")</f>
        <v/>
      </c>
      <c r="F94" s="10" t="str">
        <f aca="false">IFERROR(IF(D94="","",VLOOKUP(D94,Members!$A$2:$C$16,3,FALSE())),"")</f>
        <v/>
      </c>
      <c r="G94" s="11"/>
      <c r="H94" s="11"/>
      <c r="I94" s="11"/>
      <c r="J94" s="12"/>
      <c r="K94" s="12"/>
      <c r="L94" s="12"/>
      <c r="M94" s="13" t="str">
        <f aca="false">IF(COUNT(G94:I94)=0,"",SUM(G94:I94))</f>
        <v/>
      </c>
      <c r="N94" s="14" t="str">
        <f aca="false">IF(COUNT(J94:L94)=0,"",SUM(J94:L94))</f>
        <v/>
      </c>
      <c r="O94" s="9"/>
      <c r="P94" s="15"/>
      <c r="S94" s="16" t="str">
        <f aca="false">IF(AND(A94="",B94="",D94="",COUNT(G94:I94)=0),"",IF(D94="","Missing shooter",IF(A94="","Missing date",IF(B94="","Missing event",IF(E94="","Club not in roster (type manually)",IF(COUNT(G94:I94)=0,"No scores entered",IF(O94="","Set status (official/provisional)",IF(COUNTIFS($A$2:$A$101,A94,$B$2:$B$101,B94,$D$2:$D$101,D94)&gt;1,"Duplicate entry","OK to upload"))))))))</f>
        <v/>
      </c>
    </row>
    <row r="95" customFormat="false" ht="15" hidden="false" customHeight="true" outlineLevel="0" collapsed="false">
      <c r="A95" s="8"/>
      <c r="B95" s="9"/>
      <c r="C95" s="9"/>
      <c r="D95" s="9"/>
      <c r="E95" s="10" t="str">
        <f aca="false">IFERROR(IF(D95="","",VLOOKUP(D95,Members!$A$2:$C$16,2,FALSE())),"")</f>
        <v/>
      </c>
      <c r="F95" s="10" t="str">
        <f aca="false">IFERROR(IF(D95="","",VLOOKUP(D95,Members!$A$2:$C$16,3,FALSE())),"")</f>
        <v/>
      </c>
      <c r="G95" s="11"/>
      <c r="H95" s="11"/>
      <c r="I95" s="11"/>
      <c r="J95" s="12"/>
      <c r="K95" s="12"/>
      <c r="L95" s="12"/>
      <c r="M95" s="13" t="str">
        <f aca="false">IF(COUNT(G95:I95)=0,"",SUM(G95:I95))</f>
        <v/>
      </c>
      <c r="N95" s="14" t="str">
        <f aca="false">IF(COUNT(J95:L95)=0,"",SUM(J95:L95))</f>
        <v/>
      </c>
      <c r="O95" s="9"/>
      <c r="P95" s="15"/>
      <c r="S95" s="16" t="str">
        <f aca="false">IF(AND(A95="",B95="",D95="",COUNT(G95:I95)=0),"",IF(D95="","Missing shooter",IF(A95="","Missing date",IF(B95="","Missing event",IF(E95="","Club not in roster (type manually)",IF(COUNT(G95:I95)=0,"No scores entered",IF(O95="","Set status (official/provisional)",IF(COUNTIFS($A$2:$A$101,A95,$B$2:$B$101,B95,$D$2:$D$101,D95)&gt;1,"Duplicate entry","OK to upload"))))))))</f>
        <v/>
      </c>
    </row>
    <row r="96" customFormat="false" ht="15" hidden="false" customHeight="true" outlineLevel="0" collapsed="false">
      <c r="A96" s="8"/>
      <c r="B96" s="9"/>
      <c r="C96" s="9"/>
      <c r="D96" s="9"/>
      <c r="E96" s="10" t="str">
        <f aca="false">IFERROR(IF(D96="","",VLOOKUP(D96,Members!$A$2:$C$16,2,FALSE())),"")</f>
        <v/>
      </c>
      <c r="F96" s="10" t="str">
        <f aca="false">IFERROR(IF(D96="","",VLOOKUP(D96,Members!$A$2:$C$16,3,FALSE())),"")</f>
        <v/>
      </c>
      <c r="G96" s="11"/>
      <c r="H96" s="11"/>
      <c r="I96" s="11"/>
      <c r="J96" s="12"/>
      <c r="K96" s="12"/>
      <c r="L96" s="12"/>
      <c r="M96" s="13" t="str">
        <f aca="false">IF(COUNT(G96:I96)=0,"",SUM(G96:I96))</f>
        <v/>
      </c>
      <c r="N96" s="14" t="str">
        <f aca="false">IF(COUNT(J96:L96)=0,"",SUM(J96:L96))</f>
        <v/>
      </c>
      <c r="O96" s="9"/>
      <c r="P96" s="15"/>
      <c r="S96" s="16" t="str">
        <f aca="false">IF(AND(A96="",B96="",D96="",COUNT(G96:I96)=0),"",IF(D96="","Missing shooter",IF(A96="","Missing date",IF(B96="","Missing event",IF(E96="","Club not in roster (type manually)",IF(COUNT(G96:I96)=0,"No scores entered",IF(O96="","Set status (official/provisional)",IF(COUNTIFS($A$2:$A$101,A96,$B$2:$B$101,B96,$D$2:$D$101,D96)&gt;1,"Duplicate entry","OK to upload"))))))))</f>
        <v/>
      </c>
    </row>
    <row r="97" customFormat="false" ht="15" hidden="false" customHeight="true" outlineLevel="0" collapsed="false">
      <c r="A97" s="8"/>
      <c r="B97" s="9"/>
      <c r="C97" s="9"/>
      <c r="D97" s="9"/>
      <c r="E97" s="10" t="str">
        <f aca="false">IFERROR(IF(D97="","",VLOOKUP(D97,Members!$A$2:$C$16,2,FALSE())),"")</f>
        <v/>
      </c>
      <c r="F97" s="10" t="str">
        <f aca="false">IFERROR(IF(D97="","",VLOOKUP(D97,Members!$A$2:$C$16,3,FALSE())),"")</f>
        <v/>
      </c>
      <c r="G97" s="11"/>
      <c r="H97" s="11"/>
      <c r="I97" s="11"/>
      <c r="J97" s="12"/>
      <c r="K97" s="12"/>
      <c r="L97" s="12"/>
      <c r="M97" s="13" t="str">
        <f aca="false">IF(COUNT(G97:I97)=0,"",SUM(G97:I97))</f>
        <v/>
      </c>
      <c r="N97" s="14" t="str">
        <f aca="false">IF(COUNT(J97:L97)=0,"",SUM(J97:L97))</f>
        <v/>
      </c>
      <c r="O97" s="9"/>
      <c r="P97" s="15"/>
      <c r="S97" s="16" t="str">
        <f aca="false">IF(AND(A97="",B97="",D97="",COUNT(G97:I97)=0),"",IF(D97="","Missing shooter",IF(A97="","Missing date",IF(B97="","Missing event",IF(E97="","Club not in roster (type manually)",IF(COUNT(G97:I97)=0,"No scores entered",IF(O97="","Set status (official/provisional)",IF(COUNTIFS($A$2:$A$101,A97,$B$2:$B$101,B97,$D$2:$D$101,D97)&gt;1,"Duplicate entry","OK to upload"))))))))</f>
        <v/>
      </c>
    </row>
    <row r="98" customFormat="false" ht="15" hidden="false" customHeight="true" outlineLevel="0" collapsed="false">
      <c r="A98" s="8"/>
      <c r="B98" s="9"/>
      <c r="C98" s="9"/>
      <c r="D98" s="9"/>
      <c r="E98" s="10" t="str">
        <f aca="false">IFERROR(IF(D98="","",VLOOKUP(D98,Members!$A$2:$C$16,2,FALSE())),"")</f>
        <v/>
      </c>
      <c r="F98" s="10" t="str">
        <f aca="false">IFERROR(IF(D98="","",VLOOKUP(D98,Members!$A$2:$C$16,3,FALSE())),"")</f>
        <v/>
      </c>
      <c r="G98" s="11"/>
      <c r="H98" s="11"/>
      <c r="I98" s="11"/>
      <c r="J98" s="12"/>
      <c r="K98" s="12"/>
      <c r="L98" s="12"/>
      <c r="M98" s="13" t="str">
        <f aca="false">IF(COUNT(G98:I98)=0,"",SUM(G98:I98))</f>
        <v/>
      </c>
      <c r="N98" s="14" t="str">
        <f aca="false">IF(COUNT(J98:L98)=0,"",SUM(J98:L98))</f>
        <v/>
      </c>
      <c r="O98" s="9"/>
      <c r="P98" s="15"/>
      <c r="S98" s="16" t="str">
        <f aca="false">IF(AND(A98="",B98="",D98="",COUNT(G98:I98)=0),"",IF(D98="","Missing shooter",IF(A98="","Missing date",IF(B98="","Missing event",IF(E98="","Club not in roster (type manually)",IF(COUNT(G98:I98)=0,"No scores entered",IF(O98="","Set status (official/provisional)",IF(COUNTIFS($A$2:$A$101,A98,$B$2:$B$101,B98,$D$2:$D$101,D98)&gt;1,"Duplicate entry","OK to upload"))))))))</f>
        <v/>
      </c>
    </row>
    <row r="99" customFormat="false" ht="15" hidden="false" customHeight="true" outlineLevel="0" collapsed="false">
      <c r="A99" s="8"/>
      <c r="B99" s="9"/>
      <c r="C99" s="9"/>
      <c r="D99" s="9"/>
      <c r="E99" s="10" t="str">
        <f aca="false">IFERROR(IF(D99="","",VLOOKUP(D99,Members!$A$2:$C$16,2,FALSE())),"")</f>
        <v/>
      </c>
      <c r="F99" s="10" t="str">
        <f aca="false">IFERROR(IF(D99="","",VLOOKUP(D99,Members!$A$2:$C$16,3,FALSE())),"")</f>
        <v/>
      </c>
      <c r="G99" s="11"/>
      <c r="H99" s="11"/>
      <c r="I99" s="11"/>
      <c r="J99" s="12"/>
      <c r="K99" s="12"/>
      <c r="L99" s="12"/>
      <c r="M99" s="13" t="str">
        <f aca="false">IF(COUNT(G99:I99)=0,"",SUM(G99:I99))</f>
        <v/>
      </c>
      <c r="N99" s="14" t="str">
        <f aca="false">IF(COUNT(J99:L99)=0,"",SUM(J99:L99))</f>
        <v/>
      </c>
      <c r="O99" s="9"/>
      <c r="P99" s="15"/>
      <c r="S99" s="16" t="str">
        <f aca="false">IF(AND(A99="",B99="",D99="",COUNT(G99:I99)=0),"",IF(D99="","Missing shooter",IF(A99="","Missing date",IF(B99="","Missing event",IF(E99="","Club not in roster (type manually)",IF(COUNT(G99:I99)=0,"No scores entered",IF(O99="","Set status (official/provisional)",IF(COUNTIFS($A$2:$A$101,A99,$B$2:$B$101,B99,$D$2:$D$101,D99)&gt;1,"Duplicate entry","OK to upload"))))))))</f>
        <v/>
      </c>
    </row>
    <row r="100" customFormat="false" ht="15" hidden="false" customHeight="true" outlineLevel="0" collapsed="false">
      <c r="A100" s="8"/>
      <c r="B100" s="9"/>
      <c r="C100" s="9"/>
      <c r="D100" s="9"/>
      <c r="E100" s="10" t="str">
        <f aca="false">IFERROR(IF(D100="","",VLOOKUP(D100,Members!$A$2:$C$16,2,FALSE())),"")</f>
        <v/>
      </c>
      <c r="F100" s="10" t="str">
        <f aca="false">IFERROR(IF(D100="","",VLOOKUP(D100,Members!$A$2:$C$16,3,FALSE())),"")</f>
        <v/>
      </c>
      <c r="G100" s="11"/>
      <c r="H100" s="11"/>
      <c r="I100" s="11"/>
      <c r="J100" s="12"/>
      <c r="K100" s="12"/>
      <c r="L100" s="12"/>
      <c r="M100" s="13" t="str">
        <f aca="false">IF(COUNT(G100:I100)=0,"",SUM(G100:I100))</f>
        <v/>
      </c>
      <c r="N100" s="14" t="str">
        <f aca="false">IF(COUNT(J100:L100)=0,"",SUM(J100:L100))</f>
        <v/>
      </c>
      <c r="O100" s="9"/>
      <c r="P100" s="15"/>
      <c r="S100" s="16" t="str">
        <f aca="false">IF(AND(A100="",B100="",D100="",COUNT(G100:I100)=0),"",IF(D100="","Missing shooter",IF(A100="","Missing date",IF(B100="","Missing event",IF(E100="","Club not in roster (type manually)",IF(COUNT(G100:I100)=0,"No scores entered",IF(O100="","Set status (official/provisional)",IF(COUNTIFS($A$2:$A$101,A100,$B$2:$B$101,B100,$D$2:$D$101,D100)&gt;1,"Duplicate entry","OK to upload"))))))))</f>
        <v/>
      </c>
    </row>
    <row r="101" customFormat="false" ht="15" hidden="false" customHeight="true" outlineLevel="0" collapsed="false">
      <c r="A101" s="8"/>
      <c r="B101" s="9"/>
      <c r="C101" s="9"/>
      <c r="D101" s="9"/>
      <c r="E101" s="10" t="str">
        <f aca="false">IFERROR(IF(D101="","",VLOOKUP(D101,Members!$A$2:$C$16,2,FALSE())),"")</f>
        <v/>
      </c>
      <c r="F101" s="10" t="str">
        <f aca="false">IFERROR(IF(D101="","",VLOOKUP(D101,Members!$A$2:$C$16,3,FALSE())),"")</f>
        <v/>
      </c>
      <c r="G101" s="11"/>
      <c r="H101" s="11"/>
      <c r="I101" s="11"/>
      <c r="J101" s="12"/>
      <c r="K101" s="12"/>
      <c r="L101" s="12"/>
      <c r="M101" s="13" t="str">
        <f aca="false">IF(COUNT(G101:I101)=0,"",SUM(G101:I101))</f>
        <v/>
      </c>
      <c r="N101" s="14" t="str">
        <f aca="false">IF(COUNT(J101:L101)=0,"",SUM(J101:L101))</f>
        <v/>
      </c>
      <c r="O101" s="9"/>
      <c r="P101" s="15"/>
      <c r="S101" s="16" t="str">
        <f aca="false">IF(AND(A101="",B101="",D101="",COUNT(G101:I101)=0),"",IF(D101="","Missing shooter",IF(A101="","Missing date",IF(B101="","Missing event",IF(E101="","Club not in roster (type manually)",IF(COUNT(G101:I101)=0,"No scores entered",IF(O101="","Set status (official/provisional)",IF(COUNTIFS($A$2:$A$101,A101,$B$2:$B$101,B101,$D$2:$D$101,D101)&gt;1,"Duplicate entry","OK to upload"))))))))</f>
        <v/>
      </c>
    </row>
  </sheetData>
  <conditionalFormatting sqref="A2:S101">
    <cfRule type="expression" priority="2" aboveAverage="0" equalAverage="0" bottom="0" percent="0" rank="0" text="" dxfId="0">
      <formula>$S2="OK to upload"</formula>
    </cfRule>
    <cfRule type="expression" priority="3" aboveAverage="0" equalAverage="0" bottom="0" percent="0" rank="0" text="" dxfId="1">
      <formula>AND($S2&lt;&gt;"",$S2&lt;&gt;"OK to upload")</formula>
    </cfRule>
  </conditionalFormatting>
  <dataValidations count="8">
    <dataValidation allowBlank="true" errorStyle="stop" operator="between" showDropDown="false" showErrorMessage="false" showInputMessage="false" sqref="C2:C101" type="list">
      <formula1>"three_position_50m"</formula1>
      <formula2>0</formula2>
    </dataValidation>
    <dataValidation allowBlank="true" errorStyle="stop" operator="between" showDropDown="false" showErrorMessage="false" showInputMessage="false" sqref="D2:D101" type="list">
      <formula1>Members!$A$2:$A$16</formula1>
      <formula2>0</formula2>
    </dataValidation>
    <dataValidation allowBlank="true" errorStyle="stop" operator="between" showDropDown="false" showErrorMessage="false" showInputMessage="false" sqref="E2:E101" type="list">
      <formula1>"Modderbee,SATRF Club,Pretoria RC,Bloem Marksmen,Cape Rifle Club"</formula1>
      <formula2>0</formula2>
    </dataValidation>
    <dataValidation allowBlank="true" errorStyle="stop" operator="between" showDropDown="false" showErrorMessage="false" showInputMessage="false" sqref="F2:F101" type="list">
      <formula1>"open,junior,veteran,ladies"</formula1>
      <formula2>0</formula2>
    </dataValidation>
    <dataValidation allowBlank="true" errorStyle="stop" operator="between" showDropDown="false" showErrorMessage="false" showInputMessage="false" sqref="O2:O101" type="list">
      <formula1>"official,provisional"</formula1>
      <formula2>0</formula2>
    </dataValidation>
    <dataValidation allowBlank="true" errorStyle="stop" operator="between" showDropDown="false" showErrorMessage="false" showInputMessage="false" sqref="A2:A101" type="list">
      <formula1>Dates!$A$1:$A$730</formula1>
      <formula2>0</formula2>
    </dataValidation>
    <dataValidation allowBlank="true" error="A 20-shot position decimal cannot exceed 218.0" errorStyle="stop" errorTitle="Too high" operator="lessThanOrEqual" showDropDown="false" showErrorMessage="true" showInputMessage="false" sqref="G2:I101" type="decimal">
      <formula1>218</formula1>
      <formula2>0</formula2>
    </dataValidation>
    <dataValidation allowBlank="true" error="Ring total per 20-shot position max 200" errorStyle="stop" errorTitle="Too high" operator="lessThanOrEqual" showDropDown="false" showErrorMessage="true" showInputMessage="false" sqref="J2:L101" type="whole">
      <formula1>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8" min="3" style="1" width="8"/>
    <col collapsed="false" customWidth="true" hidden="false" outlineLevel="0" max="10" min="9" style="1" width="10"/>
    <col collapsed="false" customWidth="true" hidden="false" outlineLevel="0" max="11" min="11" style="1" width="11"/>
    <col collapsed="false" customWidth="true" hidden="false" outlineLevel="0" max="12" min="12" style="1" width="24"/>
  </cols>
  <sheetData>
    <row r="1" customFormat="false" ht="24" hidden="false" customHeight="true" outlineLevel="0" collapsed="false">
      <c r="A1" s="17" t="s">
        <v>76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15" hidden="false" customHeight="true" outlineLevel="0" collapsed="false">
      <c r="A2" s="18" t="s">
        <v>77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15" hidden="false" customHeight="true" outlineLevel="0" collapsed="false">
      <c r="A3" s="6" t="s">
        <v>29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86</v>
      </c>
      <c r="K3" s="6" t="s">
        <v>24</v>
      </c>
      <c r="L3" s="6" t="s">
        <v>48</v>
      </c>
    </row>
    <row r="4" customFormat="false" ht="15" hidden="false" customHeight="true" outlineLevel="0" collapsed="false">
      <c r="A4" s="9"/>
      <c r="B4" s="9"/>
      <c r="C4" s="11"/>
      <c r="D4" s="11"/>
      <c r="E4" s="11"/>
      <c r="F4" s="11"/>
      <c r="G4" s="11"/>
      <c r="H4" s="11"/>
      <c r="I4" s="13" t="str">
        <f aca="false">IF(COUNT(C4:H4)=0,"",ROUND(SUM(C4:H4),1))</f>
        <v/>
      </c>
      <c r="J4" s="10" t="str">
        <f aca="false">IF($I4="","",SUMPRODUCT(($I$4:$I$11&lt;&gt;"")*($I$4:$I$11&gt;$I4))+1)</f>
        <v/>
      </c>
      <c r="K4" s="9"/>
      <c r="L4" s="19"/>
    </row>
    <row r="5" customFormat="false" ht="15" hidden="false" customHeight="true" outlineLevel="0" collapsed="false">
      <c r="A5" s="9"/>
      <c r="B5" s="9"/>
      <c r="C5" s="11"/>
      <c r="D5" s="11"/>
      <c r="E5" s="11"/>
      <c r="F5" s="11"/>
      <c r="G5" s="11"/>
      <c r="H5" s="11"/>
      <c r="I5" s="13" t="str">
        <f aca="false">IF(COUNT(C5:H5)=0,"",ROUND(SUM(C5:H5),1))</f>
        <v/>
      </c>
      <c r="J5" s="10" t="str">
        <f aca="false">IF($I5="","",SUMPRODUCT(($I$4:$I$11&lt;&gt;"")*($I$4:$I$11&gt;$I5))+1)</f>
        <v/>
      </c>
      <c r="K5" s="9"/>
      <c r="L5" s="19"/>
    </row>
    <row r="6" customFormat="false" ht="15" hidden="false" customHeight="true" outlineLevel="0" collapsed="false">
      <c r="A6" s="9"/>
      <c r="B6" s="9"/>
      <c r="C6" s="11"/>
      <c r="D6" s="11"/>
      <c r="E6" s="11"/>
      <c r="F6" s="11"/>
      <c r="G6" s="11"/>
      <c r="H6" s="11"/>
      <c r="I6" s="13" t="str">
        <f aca="false">IF(COUNT(C6:H6)=0,"",ROUND(SUM(C6:H6),1))</f>
        <v/>
      </c>
      <c r="J6" s="10" t="str">
        <f aca="false">IF($I6="","",SUMPRODUCT(($I$4:$I$11&lt;&gt;"")*($I$4:$I$11&gt;$I6))+1)</f>
        <v/>
      </c>
      <c r="K6" s="9"/>
      <c r="L6" s="19"/>
    </row>
    <row r="7" customFormat="false" ht="15" hidden="false" customHeight="true" outlineLevel="0" collapsed="false">
      <c r="A7" s="9"/>
      <c r="B7" s="9"/>
      <c r="C7" s="11"/>
      <c r="D7" s="11"/>
      <c r="E7" s="11"/>
      <c r="F7" s="11"/>
      <c r="G7" s="11"/>
      <c r="H7" s="11"/>
      <c r="I7" s="13" t="str">
        <f aca="false">IF(COUNT(C7:H7)=0,"",ROUND(SUM(C7:H7),1))</f>
        <v/>
      </c>
      <c r="J7" s="10" t="str">
        <f aca="false">IF($I7="","",SUMPRODUCT(($I$4:$I$11&lt;&gt;"")*($I$4:$I$11&gt;$I7))+1)</f>
        <v/>
      </c>
      <c r="K7" s="9"/>
      <c r="L7" s="19"/>
    </row>
    <row r="8" customFormat="false" ht="15" hidden="false" customHeight="true" outlineLevel="0" collapsed="false">
      <c r="A8" s="9"/>
      <c r="B8" s="9"/>
      <c r="C8" s="11"/>
      <c r="D8" s="11"/>
      <c r="E8" s="11"/>
      <c r="F8" s="11"/>
      <c r="G8" s="11"/>
      <c r="H8" s="11"/>
      <c r="I8" s="13" t="str">
        <f aca="false">IF(COUNT(C8:H8)=0,"",ROUND(SUM(C8:H8),1))</f>
        <v/>
      </c>
      <c r="J8" s="10" t="str">
        <f aca="false">IF($I8="","",SUMPRODUCT(($I$4:$I$11&lt;&gt;"")*($I$4:$I$11&gt;$I8))+1)</f>
        <v/>
      </c>
      <c r="K8" s="9"/>
      <c r="L8" s="19"/>
    </row>
    <row r="9" customFormat="false" ht="15" hidden="false" customHeight="true" outlineLevel="0" collapsed="false">
      <c r="A9" s="9"/>
      <c r="B9" s="9"/>
      <c r="C9" s="11"/>
      <c r="D9" s="11"/>
      <c r="E9" s="11"/>
      <c r="F9" s="11"/>
      <c r="G9" s="11"/>
      <c r="H9" s="11"/>
      <c r="I9" s="13" t="str">
        <f aca="false">IF(COUNT(C9:H9)=0,"",ROUND(SUM(C9:H9),1))</f>
        <v/>
      </c>
      <c r="J9" s="10" t="str">
        <f aca="false">IF($I9="","",SUMPRODUCT(($I$4:$I$11&lt;&gt;"")*($I$4:$I$11&gt;$I9))+1)</f>
        <v/>
      </c>
      <c r="K9" s="9"/>
      <c r="L9" s="19"/>
    </row>
    <row r="10" customFormat="false" ht="15" hidden="false" customHeight="true" outlineLevel="0" collapsed="false">
      <c r="A10" s="9"/>
      <c r="B10" s="9"/>
      <c r="C10" s="11"/>
      <c r="D10" s="11"/>
      <c r="E10" s="11"/>
      <c r="F10" s="11"/>
      <c r="G10" s="11"/>
      <c r="H10" s="11"/>
      <c r="I10" s="13" t="str">
        <f aca="false">IF(COUNT(C10:H10)=0,"",ROUND(SUM(C10:H10),1))</f>
        <v/>
      </c>
      <c r="J10" s="10" t="str">
        <f aca="false">IF($I10="","",SUMPRODUCT(($I$4:$I$11&lt;&gt;"")*($I$4:$I$11&gt;$I10))+1)</f>
        <v/>
      </c>
      <c r="K10" s="9"/>
      <c r="L10" s="19"/>
    </row>
    <row r="11" customFormat="false" ht="15" hidden="false" customHeight="true" outlineLevel="0" collapsed="false">
      <c r="A11" s="9"/>
      <c r="B11" s="9"/>
      <c r="C11" s="11"/>
      <c r="D11" s="11"/>
      <c r="E11" s="11"/>
      <c r="F11" s="11"/>
      <c r="G11" s="11"/>
      <c r="H11" s="11"/>
      <c r="I11" s="13" t="str">
        <f aca="false">IF(COUNT(C11:H11)=0,"",ROUND(SUM(C11:H11),1))</f>
        <v/>
      </c>
      <c r="J11" s="10" t="str">
        <f aca="false">IF($I11="","",SUMPRODUCT(($I$4:$I$11&lt;&gt;"")*($I$4:$I$11&gt;$I11))+1)</f>
        <v/>
      </c>
      <c r="K11" s="9"/>
      <c r="L11" s="19"/>
    </row>
    <row r="13" customFormat="false" ht="15" hidden="false" customHeight="true" outlineLevel="0" collapsed="false">
      <c r="A13" s="20" t="s">
        <v>87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</sheetData>
  <mergeCells count="3">
    <mergeCell ref="A1:L1"/>
    <mergeCell ref="A2:L2"/>
    <mergeCell ref="A13:L13"/>
  </mergeCells>
  <dataValidations count="3">
    <dataValidation allowBlank="true" errorStyle="stop" operator="between" showDropDown="false" showErrorMessage="false" showInputMessage="false" sqref="B4:B11" type="list">
      <formula1>Members!$A$2:$A$16</formula1>
      <formula2>0</formula2>
    </dataValidation>
    <dataValidation allowBlank="true" errorStyle="stop" operator="between" showDropDown="false" showErrorMessage="false" showInputMessage="false" sqref="K4:K11" type="list">
      <formula1>"official,provisional"</formula1>
      <formula2>0</formula2>
    </dataValidation>
    <dataValidation allowBlank="true" error="10-shot decimal series max 109.0" errorStyle="stop" errorTitle="Too high" operator="lessThanOrEqual" showDropDown="false" showErrorMessage="true" showInputMessage="false" sqref="C4:H11" type="decimal">
      <formula1>109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8"/>
    <col collapsed="false" customWidth="true" hidden="false" outlineLevel="0" max="32" min="3" style="1" width="5"/>
    <col collapsed="false" customWidth="true" hidden="false" outlineLevel="0" max="33" min="33" style="1" width="8"/>
    <col collapsed="false" customWidth="true" hidden="false" outlineLevel="0" max="38" min="34" style="1" width="5"/>
    <col collapsed="false" customWidth="true" hidden="false" outlineLevel="0" max="39" min="39" style="1" width="9"/>
    <col collapsed="false" customWidth="true" hidden="false" outlineLevel="0" max="40" min="40" style="1" width="10"/>
    <col collapsed="false" customWidth="true" hidden="false" outlineLevel="0" max="41" min="41" style="1" width="8"/>
    <col collapsed="false" customWidth="true" hidden="false" outlineLevel="0" max="42" min="42" style="1" width="12"/>
  </cols>
  <sheetData>
    <row r="1" customFormat="false" ht="21.75" hidden="false" customHeight="true" outlineLevel="0" collapsed="false">
      <c r="A1" s="21" t="s">
        <v>88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</row>
    <row r="2" customFormat="false" ht="15" hidden="false" customHeight="true" outlineLevel="0" collapsed="false">
      <c r="A2" s="18" t="s">
        <v>89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customFormat="false" ht="23.25" hidden="false" customHeight="true" outlineLevel="0" collapsed="false">
      <c r="A3" s="6" t="s">
        <v>29</v>
      </c>
      <c r="B3" s="6" t="s">
        <v>78</v>
      </c>
      <c r="C3" s="22" t="s">
        <v>90</v>
      </c>
      <c r="D3" s="22" t="s">
        <v>91</v>
      </c>
      <c r="E3" s="22" t="s">
        <v>92</v>
      </c>
      <c r="F3" s="22" t="s">
        <v>93</v>
      </c>
      <c r="G3" s="22" t="s">
        <v>94</v>
      </c>
      <c r="H3" s="22" t="s">
        <v>95</v>
      </c>
      <c r="I3" s="22" t="s">
        <v>96</v>
      </c>
      <c r="J3" s="22" t="s">
        <v>97</v>
      </c>
      <c r="K3" s="22" t="s">
        <v>98</v>
      </c>
      <c r="L3" s="22" t="s">
        <v>99</v>
      </c>
      <c r="M3" s="23" t="s">
        <v>100</v>
      </c>
      <c r="N3" s="23" t="s">
        <v>101</v>
      </c>
      <c r="O3" s="23" t="s">
        <v>102</v>
      </c>
      <c r="P3" s="23" t="s">
        <v>103</v>
      </c>
      <c r="Q3" s="23" t="s">
        <v>104</v>
      </c>
      <c r="R3" s="23" t="s">
        <v>105</v>
      </c>
      <c r="S3" s="23" t="s">
        <v>106</v>
      </c>
      <c r="T3" s="23" t="s">
        <v>107</v>
      </c>
      <c r="U3" s="23" t="s">
        <v>108</v>
      </c>
      <c r="V3" s="23" t="s">
        <v>109</v>
      </c>
      <c r="W3" s="24" t="s">
        <v>79</v>
      </c>
      <c r="X3" s="24" t="s">
        <v>80</v>
      </c>
      <c r="Y3" s="24" t="s">
        <v>81</v>
      </c>
      <c r="Z3" s="24" t="s">
        <v>82</v>
      </c>
      <c r="AA3" s="24" t="s">
        <v>83</v>
      </c>
      <c r="AB3" s="24" t="s">
        <v>84</v>
      </c>
      <c r="AC3" s="24" t="s">
        <v>110</v>
      </c>
      <c r="AD3" s="24" t="s">
        <v>111</v>
      </c>
      <c r="AE3" s="24" t="s">
        <v>112</v>
      </c>
      <c r="AF3" s="24" t="s">
        <v>113</v>
      </c>
      <c r="AG3" s="25" t="s">
        <v>114</v>
      </c>
      <c r="AH3" s="6" t="s">
        <v>115</v>
      </c>
      <c r="AI3" s="6" t="s">
        <v>116</v>
      </c>
      <c r="AJ3" s="6" t="s">
        <v>117</v>
      </c>
      <c r="AK3" s="6" t="s">
        <v>118</v>
      </c>
      <c r="AL3" s="6" t="s">
        <v>119</v>
      </c>
      <c r="AM3" s="25" t="s">
        <v>85</v>
      </c>
      <c r="AN3" s="24" t="s">
        <v>120</v>
      </c>
      <c r="AO3" s="6" t="s">
        <v>121</v>
      </c>
      <c r="AP3" s="6" t="s">
        <v>24</v>
      </c>
    </row>
    <row r="4" customFormat="false" ht="15" hidden="false" customHeight="true" outlineLevel="0" collapsed="false">
      <c r="A4" s="9"/>
      <c r="B4" s="9"/>
      <c r="C4" s="26"/>
      <c r="D4" s="26"/>
      <c r="E4" s="26"/>
      <c r="F4" s="26"/>
      <c r="G4" s="26"/>
      <c r="H4" s="26"/>
      <c r="I4" s="26"/>
      <c r="J4" s="26"/>
      <c r="K4" s="26"/>
      <c r="L4" s="26"/>
      <c r="M4" s="11"/>
      <c r="N4" s="11"/>
      <c r="O4" s="11"/>
      <c r="P4" s="11"/>
      <c r="Q4" s="11"/>
      <c r="R4" s="11"/>
      <c r="S4" s="11"/>
      <c r="T4" s="11"/>
      <c r="U4" s="11"/>
      <c r="V4" s="11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13" t="str">
        <f aca="false">IF(COUNT(C4:AF4)=0,"",ROUND(SUM(C4:AF4),1))</f>
        <v/>
      </c>
      <c r="AH4" s="27"/>
      <c r="AI4" s="27"/>
      <c r="AJ4" s="27"/>
      <c r="AK4" s="27"/>
      <c r="AL4" s="27"/>
      <c r="AM4" s="13" t="str">
        <f aca="false">IF(AG4="","",ROUND(AG4+SUM(AH4:AL4),1))</f>
        <v/>
      </c>
      <c r="AN4" s="28"/>
      <c r="AO4" s="10" t="str">
        <f aca="false">IF(AM4="","",SUMPRODUCT((((IF($AN$4:$AN$11="",99,$AN$4:$AN$11))&gt;IF(AN4="",99,AN4))*($AM$4:$AM$11&lt;&gt;""))+(((IF($AN$4:$AN$11="",99,$AN$4:$AN$11))=IF(AN4="",99,AN4))*($AM$4:$AM$11&gt;AM4)*($AM$4:$AM$11&lt;&gt;"")))+1)</f>
        <v/>
      </c>
      <c r="AP4" s="9"/>
    </row>
    <row r="5" customFormat="false" ht="15" hidden="false" customHeight="true" outlineLevel="0" collapsed="false">
      <c r="A5" s="9"/>
      <c r="B5" s="9"/>
      <c r="C5" s="26"/>
      <c r="D5" s="26"/>
      <c r="E5" s="26"/>
      <c r="F5" s="26"/>
      <c r="G5" s="26"/>
      <c r="H5" s="26"/>
      <c r="I5" s="26"/>
      <c r="J5" s="26"/>
      <c r="K5" s="26"/>
      <c r="L5" s="26"/>
      <c r="M5" s="11"/>
      <c r="N5" s="11"/>
      <c r="O5" s="11"/>
      <c r="P5" s="11"/>
      <c r="Q5" s="11"/>
      <c r="R5" s="11"/>
      <c r="S5" s="11"/>
      <c r="T5" s="11"/>
      <c r="U5" s="11"/>
      <c r="V5" s="11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13" t="str">
        <f aca="false">IF(COUNT(C5:AF5)=0,"",ROUND(SUM(C5:AF5),1))</f>
        <v/>
      </c>
      <c r="AH5" s="27"/>
      <c r="AI5" s="27"/>
      <c r="AJ5" s="27"/>
      <c r="AK5" s="27"/>
      <c r="AL5" s="27"/>
      <c r="AM5" s="13" t="str">
        <f aca="false">IF(AG5="","",ROUND(AG5+SUM(AH5:AL5),1))</f>
        <v/>
      </c>
      <c r="AN5" s="28"/>
      <c r="AO5" s="10" t="str">
        <f aca="false">IF(AM5="","",SUMPRODUCT((((IF($AN$4:$AN$11="",99,$AN$4:$AN$11))&gt;IF(AN5="",99,AN5))*($AM$4:$AM$11&lt;&gt;""))+(((IF($AN$4:$AN$11="",99,$AN$4:$AN$11))=IF(AN5="",99,AN5))*($AM$4:$AM$11&gt;AM5)*($AM$4:$AM$11&lt;&gt;"")))+1)</f>
        <v/>
      </c>
      <c r="AP5" s="9"/>
    </row>
    <row r="6" customFormat="false" ht="15" hidden="false" customHeight="true" outlineLevel="0" collapsed="false">
      <c r="A6" s="9"/>
      <c r="B6" s="9"/>
      <c r="C6" s="26"/>
      <c r="D6" s="26"/>
      <c r="E6" s="26"/>
      <c r="F6" s="26"/>
      <c r="G6" s="26"/>
      <c r="H6" s="26"/>
      <c r="I6" s="26"/>
      <c r="J6" s="26"/>
      <c r="K6" s="26"/>
      <c r="L6" s="26"/>
      <c r="M6" s="11"/>
      <c r="N6" s="11"/>
      <c r="O6" s="11"/>
      <c r="P6" s="11"/>
      <c r="Q6" s="11"/>
      <c r="R6" s="11"/>
      <c r="S6" s="11"/>
      <c r="T6" s="11"/>
      <c r="U6" s="11"/>
      <c r="V6" s="11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13" t="str">
        <f aca="false">IF(COUNT(C6:AF6)=0,"",ROUND(SUM(C6:AF6),1))</f>
        <v/>
      </c>
      <c r="AH6" s="27"/>
      <c r="AI6" s="27"/>
      <c r="AJ6" s="27"/>
      <c r="AK6" s="27"/>
      <c r="AL6" s="27"/>
      <c r="AM6" s="13" t="str">
        <f aca="false">IF(AG6="","",ROUND(AG6+SUM(AH6:AL6),1))</f>
        <v/>
      </c>
      <c r="AN6" s="28"/>
      <c r="AO6" s="10" t="str">
        <f aca="false">IF(AM6="","",SUMPRODUCT((((IF($AN$4:$AN$11="",99,$AN$4:$AN$11))&gt;IF(AN6="",99,AN6))*($AM$4:$AM$11&lt;&gt;""))+(((IF($AN$4:$AN$11="",99,$AN$4:$AN$11))=IF(AN6="",99,AN6))*($AM$4:$AM$11&gt;AM6)*($AM$4:$AM$11&lt;&gt;"")))+1)</f>
        <v/>
      </c>
      <c r="AP6" s="9"/>
    </row>
    <row r="7" customFormat="false" ht="15" hidden="false" customHeight="true" outlineLevel="0" collapsed="false">
      <c r="A7" s="9"/>
      <c r="B7" s="9"/>
      <c r="C7" s="26"/>
      <c r="D7" s="26"/>
      <c r="E7" s="26"/>
      <c r="F7" s="26"/>
      <c r="G7" s="26"/>
      <c r="H7" s="26"/>
      <c r="I7" s="26"/>
      <c r="J7" s="26"/>
      <c r="K7" s="26"/>
      <c r="L7" s="26"/>
      <c r="M7" s="11"/>
      <c r="N7" s="11"/>
      <c r="O7" s="11"/>
      <c r="P7" s="11"/>
      <c r="Q7" s="11"/>
      <c r="R7" s="11"/>
      <c r="S7" s="11"/>
      <c r="T7" s="11"/>
      <c r="U7" s="11"/>
      <c r="V7" s="11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13" t="str">
        <f aca="false">IF(COUNT(C7:AF7)=0,"",ROUND(SUM(C7:AF7),1))</f>
        <v/>
      </c>
      <c r="AH7" s="27"/>
      <c r="AI7" s="27"/>
      <c r="AJ7" s="27"/>
      <c r="AK7" s="27"/>
      <c r="AL7" s="27"/>
      <c r="AM7" s="13" t="str">
        <f aca="false">IF(AG7="","",ROUND(AG7+SUM(AH7:AL7),1))</f>
        <v/>
      </c>
      <c r="AN7" s="28"/>
      <c r="AO7" s="10" t="str">
        <f aca="false">IF(AM7="","",SUMPRODUCT((((IF($AN$4:$AN$11="",99,$AN$4:$AN$11))&gt;IF(AN7="",99,AN7))*($AM$4:$AM$11&lt;&gt;""))+(((IF($AN$4:$AN$11="",99,$AN$4:$AN$11))=IF(AN7="",99,AN7))*($AM$4:$AM$11&gt;AM7)*($AM$4:$AM$11&lt;&gt;"")))+1)</f>
        <v/>
      </c>
      <c r="AP7" s="9"/>
    </row>
    <row r="8" customFormat="false" ht="15" hidden="false" customHeight="true" outlineLevel="0" collapsed="false">
      <c r="A8" s="9"/>
      <c r="B8" s="9"/>
      <c r="C8" s="26"/>
      <c r="D8" s="26"/>
      <c r="E8" s="26"/>
      <c r="F8" s="26"/>
      <c r="G8" s="26"/>
      <c r="H8" s="26"/>
      <c r="I8" s="26"/>
      <c r="J8" s="26"/>
      <c r="K8" s="26"/>
      <c r="L8" s="26"/>
      <c r="M8" s="11"/>
      <c r="N8" s="11"/>
      <c r="O8" s="11"/>
      <c r="P8" s="11"/>
      <c r="Q8" s="11"/>
      <c r="R8" s="11"/>
      <c r="S8" s="11"/>
      <c r="T8" s="11"/>
      <c r="U8" s="11"/>
      <c r="V8" s="11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13" t="str">
        <f aca="false">IF(COUNT(C8:AF8)=0,"",ROUND(SUM(C8:AF8),1))</f>
        <v/>
      </c>
      <c r="AH8" s="27"/>
      <c r="AI8" s="27"/>
      <c r="AJ8" s="27"/>
      <c r="AK8" s="27"/>
      <c r="AL8" s="27"/>
      <c r="AM8" s="13" t="str">
        <f aca="false">IF(AG8="","",ROUND(AG8+SUM(AH8:AL8),1))</f>
        <v/>
      </c>
      <c r="AN8" s="28"/>
      <c r="AO8" s="10" t="str">
        <f aca="false">IF(AM8="","",SUMPRODUCT((((IF($AN$4:$AN$11="",99,$AN$4:$AN$11))&gt;IF(AN8="",99,AN8))*($AM$4:$AM$11&lt;&gt;""))+(((IF($AN$4:$AN$11="",99,$AN$4:$AN$11))=IF(AN8="",99,AN8))*($AM$4:$AM$11&gt;AM8)*($AM$4:$AM$11&lt;&gt;"")))+1)</f>
        <v/>
      </c>
      <c r="AP8" s="9"/>
    </row>
    <row r="9" customFormat="false" ht="15" hidden="false" customHeight="true" outlineLevel="0" collapsed="false">
      <c r="A9" s="9"/>
      <c r="B9" s="9"/>
      <c r="C9" s="26"/>
      <c r="D9" s="26"/>
      <c r="E9" s="26"/>
      <c r="F9" s="26"/>
      <c r="G9" s="26"/>
      <c r="H9" s="26"/>
      <c r="I9" s="26"/>
      <c r="J9" s="26"/>
      <c r="K9" s="26"/>
      <c r="L9" s="26"/>
      <c r="M9" s="11"/>
      <c r="N9" s="11"/>
      <c r="O9" s="11"/>
      <c r="P9" s="11"/>
      <c r="Q9" s="11"/>
      <c r="R9" s="11"/>
      <c r="S9" s="11"/>
      <c r="T9" s="11"/>
      <c r="U9" s="11"/>
      <c r="V9" s="11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13" t="str">
        <f aca="false">IF(COUNT(C9:AF9)=0,"",ROUND(SUM(C9:AF9),1))</f>
        <v/>
      </c>
      <c r="AH9" s="27"/>
      <c r="AI9" s="27"/>
      <c r="AJ9" s="27"/>
      <c r="AK9" s="27"/>
      <c r="AL9" s="27"/>
      <c r="AM9" s="13" t="str">
        <f aca="false">IF(AG9="","",ROUND(AG9+SUM(AH9:AL9),1))</f>
        <v/>
      </c>
      <c r="AN9" s="28"/>
      <c r="AO9" s="10" t="str">
        <f aca="false">IF(AM9="","",SUMPRODUCT((((IF($AN$4:$AN$11="",99,$AN$4:$AN$11))&gt;IF(AN9="",99,AN9))*($AM$4:$AM$11&lt;&gt;""))+(((IF($AN$4:$AN$11="",99,$AN$4:$AN$11))=IF(AN9="",99,AN9))*($AM$4:$AM$11&gt;AM9)*($AM$4:$AM$11&lt;&gt;"")))+1)</f>
        <v/>
      </c>
      <c r="AP9" s="9"/>
    </row>
    <row r="10" customFormat="false" ht="15" hidden="false" customHeight="true" outlineLevel="0" collapsed="false">
      <c r="A10" s="9"/>
      <c r="B10" s="9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13" t="str">
        <f aca="false">IF(COUNT(C10:AF10)=0,"",ROUND(SUM(C10:AF10),1))</f>
        <v/>
      </c>
      <c r="AH10" s="27"/>
      <c r="AI10" s="27"/>
      <c r="AJ10" s="27"/>
      <c r="AK10" s="27"/>
      <c r="AL10" s="27"/>
      <c r="AM10" s="13" t="str">
        <f aca="false">IF(AG10="","",ROUND(AG10+SUM(AH10:AL10),1))</f>
        <v/>
      </c>
      <c r="AN10" s="28"/>
      <c r="AO10" s="10" t="str">
        <f aca="false">IF(AM10="","",SUMPRODUCT((((IF($AN$4:$AN$11="",99,$AN$4:$AN$11))&gt;IF(AN10="",99,AN10))*($AM$4:$AM$11&lt;&gt;""))+(((IF($AN$4:$AN$11="",99,$AN$4:$AN$11))=IF(AN10="",99,AN10))*($AM$4:$AM$11&gt;AM10)*($AM$4:$AM$11&lt;&gt;"")))+1)</f>
        <v/>
      </c>
      <c r="AP10" s="9"/>
    </row>
    <row r="11" customFormat="false" ht="15" hidden="false" customHeight="true" outlineLevel="0" collapsed="false">
      <c r="A11" s="9"/>
      <c r="B11" s="9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13" t="str">
        <f aca="false">IF(COUNT(C11:AF11)=0,"",ROUND(SUM(C11:AF11),1))</f>
        <v/>
      </c>
      <c r="AH11" s="27"/>
      <c r="AI11" s="27"/>
      <c r="AJ11" s="27"/>
      <c r="AK11" s="27"/>
      <c r="AL11" s="27"/>
      <c r="AM11" s="13" t="str">
        <f aca="false">IF(AG11="","",ROUND(AG11+SUM(AH11:AL11),1))</f>
        <v/>
      </c>
      <c r="AN11" s="28"/>
      <c r="AO11" s="10" t="str">
        <f aca="false">IF(AM11="","",SUMPRODUCT((((IF($AN$4:$AN$11="",99,$AN$4:$AN$11))&gt;IF(AN11="",99,AN11))*($AM$4:$AM$11&lt;&gt;""))+(((IF($AN$4:$AN$11="",99,$AN$4:$AN$11))=IF(AN11="",99,AN11))*($AM$4:$AM$11&gt;AM11)*($AM$4:$AM$11&lt;&gt;"")))+1)</f>
        <v/>
      </c>
      <c r="AP11" s="9"/>
    </row>
    <row r="13" customFormat="false" ht="15" hidden="false" customHeight="true" outlineLevel="0" collapsed="false">
      <c r="A13" s="20" t="s">
        <v>122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</sheetData>
  <mergeCells count="3">
    <mergeCell ref="A1:AP1"/>
    <mergeCell ref="A2:AP2"/>
    <mergeCell ref="A13:AO13"/>
  </mergeCells>
  <dataValidations count="3">
    <dataValidation allowBlank="true" errorStyle="stop" operator="between" showDropDown="false" showErrorMessage="false" showInputMessage="false" sqref="B4:B11" type="list">
      <formula1>Members!$A$2:$A$16</formula1>
      <formula2>0</formula2>
    </dataValidation>
    <dataValidation allowBlank="true" error="Single decimal shot max 10.9" errorStyle="stop" errorTitle="Too high" operator="lessThanOrEqual" showDropDown="false" showErrorMessage="true" showInputMessage="false" sqref="C4:AF11 AH4:AL11" type="decimal">
      <formula1>10.9</formula1>
      <formula2>0</formula2>
    </dataValidation>
    <dataValidation allowBlank="true" errorStyle="stop" operator="between" showDropDown="false" showErrorMessage="false" showInputMessage="false" sqref="AP4:AP11" type="list">
      <formula1>"official,provisional"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16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123</v>
      </c>
      <c r="E1" s="7" t="s">
        <v>124</v>
      </c>
    </row>
    <row r="2" customFormat="false" ht="15" hidden="false" customHeight="true" outlineLevel="0" collapsed="false">
      <c r="A2" s="29" t="s">
        <v>53</v>
      </c>
      <c r="B2" s="30" t="s">
        <v>125</v>
      </c>
      <c r="C2" s="30" t="s">
        <v>126</v>
      </c>
    </row>
    <row r="3" customFormat="false" ht="15" hidden="false" customHeight="true" outlineLevel="0" collapsed="false">
      <c r="A3" s="29" t="s">
        <v>58</v>
      </c>
      <c r="B3" s="30" t="s">
        <v>127</v>
      </c>
      <c r="C3" s="30" t="s">
        <v>128</v>
      </c>
    </row>
    <row r="4" customFormat="false" ht="15" hidden="false" customHeight="true" outlineLevel="0" collapsed="false">
      <c r="A4" s="29" t="s">
        <v>62</v>
      </c>
      <c r="B4" s="30" t="s">
        <v>129</v>
      </c>
      <c r="C4" s="30" t="s">
        <v>126</v>
      </c>
    </row>
    <row r="5" customFormat="false" ht="15" hidden="false" customHeight="true" outlineLevel="0" collapsed="false">
      <c r="A5" s="29" t="s">
        <v>130</v>
      </c>
      <c r="B5" s="30" t="s">
        <v>127</v>
      </c>
      <c r="C5" s="30" t="s">
        <v>128</v>
      </c>
    </row>
    <row r="6" customFormat="false" ht="15" hidden="false" customHeight="true" outlineLevel="0" collapsed="false">
      <c r="A6" s="29" t="s">
        <v>131</v>
      </c>
      <c r="B6" s="30" t="s">
        <v>132</v>
      </c>
      <c r="C6" s="30" t="s">
        <v>133</v>
      </c>
    </row>
    <row r="7" customFormat="false" ht="15" hidden="false" customHeight="true" outlineLevel="0" collapsed="false">
      <c r="A7" s="29" t="s">
        <v>134</v>
      </c>
      <c r="B7" s="30" t="s">
        <v>125</v>
      </c>
      <c r="C7" s="30" t="s">
        <v>126</v>
      </c>
    </row>
    <row r="8" customFormat="false" ht="15" hidden="false" customHeight="true" outlineLevel="0" collapsed="false">
      <c r="A8" s="29" t="s">
        <v>74</v>
      </c>
      <c r="B8" s="30" t="s">
        <v>127</v>
      </c>
      <c r="C8" s="30" t="s">
        <v>135</v>
      </c>
    </row>
    <row r="9" customFormat="false" ht="15" hidden="false" customHeight="true" outlineLevel="0" collapsed="false">
      <c r="A9" s="29" t="s">
        <v>136</v>
      </c>
      <c r="B9" s="30" t="s">
        <v>129</v>
      </c>
      <c r="C9" s="30" t="s">
        <v>133</v>
      </c>
    </row>
    <row r="10" customFormat="false" ht="15" hidden="false" customHeight="true" outlineLevel="0" collapsed="false">
      <c r="A10" s="29" t="s">
        <v>137</v>
      </c>
      <c r="B10" s="30" t="s">
        <v>138</v>
      </c>
      <c r="C10" s="30" t="s">
        <v>128</v>
      </c>
    </row>
    <row r="11" customFormat="false" ht="15" hidden="false" customHeight="true" outlineLevel="0" collapsed="false">
      <c r="A11" s="29" t="s">
        <v>139</v>
      </c>
      <c r="B11" s="30" t="s">
        <v>125</v>
      </c>
      <c r="C11" s="30" t="s">
        <v>126</v>
      </c>
    </row>
    <row r="12" customFormat="false" ht="15" hidden="false" customHeight="true" outlineLevel="0" collapsed="false">
      <c r="A12" s="29" t="s">
        <v>140</v>
      </c>
      <c r="B12" s="30" t="s">
        <v>132</v>
      </c>
      <c r="C12" s="30" t="s">
        <v>126</v>
      </c>
    </row>
    <row r="13" customFormat="false" ht="15" hidden="false" customHeight="true" outlineLevel="0" collapsed="false">
      <c r="A13" s="29" t="s">
        <v>141</v>
      </c>
      <c r="B13" s="30" t="s">
        <v>138</v>
      </c>
      <c r="C13" s="30" t="s">
        <v>133</v>
      </c>
    </row>
    <row r="14" customFormat="false" ht="15" hidden="false" customHeight="true" outlineLevel="0" collapsed="false">
      <c r="A14" s="29" t="s">
        <v>142</v>
      </c>
      <c r="B14" s="30" t="s">
        <v>127</v>
      </c>
      <c r="C14" s="30" t="s">
        <v>135</v>
      </c>
    </row>
    <row r="15" customFormat="false" ht="15" hidden="false" customHeight="true" outlineLevel="0" collapsed="false">
      <c r="A15" s="29" t="s">
        <v>143</v>
      </c>
      <c r="B15" s="30" t="s">
        <v>129</v>
      </c>
      <c r="C15" s="30" t="s">
        <v>126</v>
      </c>
    </row>
    <row r="16" customFormat="false" ht="15" hidden="false" customHeight="true" outlineLevel="0" collapsed="false">
      <c r="A16" s="29" t="s">
        <v>144</v>
      </c>
      <c r="B16" s="30" t="s">
        <v>138</v>
      </c>
      <c r="C16" s="30" t="s">
        <v>128</v>
      </c>
    </row>
    <row r="17" customFormat="false" ht="15" hidden="false" customHeight="true" outlineLevel="0" collapsed="false">
      <c r="A17" s="29"/>
      <c r="B17" s="30"/>
      <c r="C17" s="30"/>
    </row>
    <row r="18" customFormat="false" ht="15" hidden="false" customHeight="true" outlineLevel="0" collapsed="false">
      <c r="A18" s="29"/>
      <c r="B18" s="30"/>
      <c r="C18" s="30"/>
    </row>
    <row r="19" customFormat="false" ht="15" hidden="false" customHeight="true" outlineLevel="0" collapsed="false">
      <c r="A19" s="29"/>
      <c r="B19" s="30"/>
      <c r="C19" s="30"/>
    </row>
    <row r="20" customFormat="false" ht="15" hidden="false" customHeight="true" outlineLevel="0" collapsed="false">
      <c r="A20" s="29"/>
      <c r="B20" s="30"/>
      <c r="C20" s="30"/>
    </row>
    <row r="21" customFormat="false" ht="15" hidden="false" customHeight="true" outlineLevel="0" collapsed="false">
      <c r="A21" s="29"/>
      <c r="B21" s="30"/>
      <c r="C21" s="30"/>
    </row>
    <row r="22" customFormat="false" ht="15" hidden="false" customHeight="true" outlineLevel="0" collapsed="false">
      <c r="A22" s="29"/>
      <c r="B22" s="30"/>
      <c r="C22" s="30"/>
    </row>
    <row r="23" customFormat="false" ht="15" hidden="false" customHeight="true" outlineLevel="0" collapsed="false">
      <c r="A23" s="29"/>
      <c r="B23" s="30"/>
      <c r="C23" s="30"/>
    </row>
    <row r="24" customFormat="false" ht="15" hidden="false" customHeight="true" outlineLevel="0" collapsed="false">
      <c r="A24" s="29"/>
      <c r="B24" s="30"/>
      <c r="C24" s="30"/>
    </row>
    <row r="25" customFormat="false" ht="15" hidden="false" customHeight="true" outlineLevel="0" collapsed="false">
      <c r="A25" s="29"/>
      <c r="B25" s="30"/>
      <c r="C25" s="30"/>
    </row>
    <row r="26" customFormat="false" ht="15" hidden="false" customHeight="true" outlineLevel="0" collapsed="false">
      <c r="A26" s="29"/>
      <c r="B26" s="30"/>
      <c r="C26" s="30"/>
    </row>
    <row r="27" customFormat="false" ht="15" hidden="false" customHeight="true" outlineLevel="0" collapsed="false">
      <c r="A27" s="29"/>
      <c r="B27" s="30"/>
      <c r="C27" s="30"/>
    </row>
    <row r="28" customFormat="false" ht="15" hidden="false" customHeight="true" outlineLevel="0" collapsed="false">
      <c r="A28" s="29"/>
      <c r="B28" s="30"/>
      <c r="C28" s="30"/>
    </row>
    <row r="29" customFormat="false" ht="15" hidden="false" customHeight="true" outlineLevel="0" collapsed="false">
      <c r="A29" s="29"/>
      <c r="B29" s="30"/>
      <c r="C29" s="30"/>
    </row>
    <row r="30" customFormat="false" ht="15" hidden="false" customHeight="true" outlineLevel="0" collapsed="false">
      <c r="A30" s="29"/>
      <c r="B30" s="30"/>
      <c r="C30" s="30"/>
    </row>
    <row r="31" customFormat="false" ht="15" hidden="false" customHeight="true" outlineLevel="0" collapsed="false">
      <c r="A31" s="29"/>
      <c r="B31" s="30"/>
      <c r="C31" s="30"/>
    </row>
    <row r="32" customFormat="false" ht="15" hidden="false" customHeight="true" outlineLevel="0" collapsed="false">
      <c r="A32" s="29"/>
      <c r="B32" s="30"/>
      <c r="C32" s="30"/>
    </row>
    <row r="33" customFormat="false" ht="15" hidden="false" customHeight="true" outlineLevel="0" collapsed="false">
      <c r="A33" s="29"/>
      <c r="B33" s="30"/>
      <c r="C33" s="30"/>
    </row>
    <row r="34" customFormat="false" ht="15" hidden="false" customHeight="true" outlineLevel="0" collapsed="false">
      <c r="A34" s="29"/>
      <c r="B34" s="30"/>
      <c r="C34" s="30"/>
    </row>
    <row r="35" customFormat="false" ht="15" hidden="false" customHeight="true" outlineLevel="0" collapsed="false">
      <c r="A35" s="29"/>
      <c r="B35" s="30"/>
      <c r="C35" s="30"/>
    </row>
    <row r="36" customFormat="false" ht="15" hidden="false" customHeight="true" outlineLevel="0" collapsed="false">
      <c r="A36" s="29"/>
      <c r="B36" s="30"/>
      <c r="C36" s="30"/>
    </row>
    <row r="37" customFormat="false" ht="15" hidden="false" customHeight="true" outlineLevel="0" collapsed="false">
      <c r="A37" s="29"/>
      <c r="B37" s="30"/>
      <c r="C37" s="30"/>
    </row>
    <row r="38" customFormat="false" ht="15" hidden="false" customHeight="true" outlineLevel="0" collapsed="false">
      <c r="A38" s="29"/>
      <c r="B38" s="30"/>
      <c r="C38" s="30"/>
    </row>
    <row r="39" customFormat="false" ht="15" hidden="false" customHeight="true" outlineLevel="0" collapsed="false">
      <c r="A39" s="29"/>
      <c r="B39" s="30"/>
      <c r="C39" s="30"/>
    </row>
    <row r="40" customFormat="false" ht="15" hidden="false" customHeight="true" outlineLevel="0" collapsed="false">
      <c r="A40" s="29"/>
      <c r="B40" s="30"/>
      <c r="C40" s="30"/>
    </row>
    <row r="41" customFormat="false" ht="15" hidden="false" customHeight="true" outlineLevel="0" collapsed="false">
      <c r="A41" s="29"/>
      <c r="B41" s="30"/>
      <c r="C41" s="30"/>
    </row>
    <row r="42" customFormat="false" ht="15" hidden="false" customHeight="true" outlineLevel="0" collapsed="false">
      <c r="A42" s="29"/>
      <c r="B42" s="30"/>
      <c r="C42" s="30"/>
    </row>
    <row r="43" customFormat="false" ht="15" hidden="false" customHeight="true" outlineLevel="0" collapsed="false">
      <c r="A43" s="29"/>
      <c r="B43" s="30"/>
      <c r="C43" s="30"/>
    </row>
    <row r="44" customFormat="false" ht="15" hidden="false" customHeight="true" outlineLevel="0" collapsed="false">
      <c r="A44" s="29"/>
      <c r="B44" s="30"/>
      <c r="C44" s="30"/>
    </row>
    <row r="45" customFormat="false" ht="15" hidden="false" customHeight="true" outlineLevel="0" collapsed="false">
      <c r="A45" s="29"/>
      <c r="B45" s="30"/>
      <c r="C45" s="30"/>
    </row>
    <row r="46" customFormat="false" ht="15" hidden="false" customHeight="true" outlineLevel="0" collapsed="false">
      <c r="A46" s="29"/>
      <c r="B46" s="30"/>
      <c r="C46" s="30"/>
    </row>
    <row r="47" customFormat="false" ht="15" hidden="false" customHeight="true" outlineLevel="0" collapsed="false">
      <c r="A47" s="29"/>
      <c r="B47" s="30"/>
      <c r="C47" s="30"/>
    </row>
    <row r="48" customFormat="false" ht="15" hidden="false" customHeight="true" outlineLevel="0" collapsed="false">
      <c r="A48" s="29"/>
      <c r="B48" s="30"/>
      <c r="C48" s="30"/>
    </row>
    <row r="49" customFormat="false" ht="15" hidden="false" customHeight="true" outlineLevel="0" collapsed="false">
      <c r="A49" s="29"/>
      <c r="B49" s="30"/>
      <c r="C49" s="30"/>
    </row>
    <row r="50" customFormat="false" ht="15" hidden="false" customHeight="true" outlineLevel="0" collapsed="false">
      <c r="A50" s="29"/>
      <c r="B50" s="30"/>
      <c r="C50" s="30"/>
    </row>
    <row r="51" customFormat="false" ht="15" hidden="false" customHeight="true" outlineLevel="0" collapsed="false">
      <c r="A51" s="29"/>
      <c r="B51" s="30"/>
      <c r="C51" s="30"/>
    </row>
    <row r="52" customFormat="false" ht="15" hidden="false" customHeight="true" outlineLevel="0" collapsed="false">
      <c r="A52" s="29"/>
      <c r="B52" s="30"/>
      <c r="C52" s="30"/>
    </row>
    <row r="53" customFormat="false" ht="15" hidden="false" customHeight="true" outlineLevel="0" collapsed="false">
      <c r="A53" s="29"/>
      <c r="B53" s="30"/>
      <c r="C53" s="30"/>
    </row>
    <row r="54" customFormat="false" ht="15" hidden="false" customHeight="true" outlineLevel="0" collapsed="false">
      <c r="A54" s="29"/>
      <c r="B54" s="30"/>
      <c r="C54" s="30"/>
    </row>
    <row r="55" customFormat="false" ht="15" hidden="false" customHeight="true" outlineLevel="0" collapsed="false">
      <c r="A55" s="29"/>
      <c r="B55" s="30"/>
      <c r="C55" s="30"/>
    </row>
    <row r="56" customFormat="false" ht="15" hidden="false" customHeight="true" outlineLevel="0" collapsed="false">
      <c r="A56" s="29"/>
      <c r="B56" s="30"/>
      <c r="C56" s="30"/>
    </row>
    <row r="57" customFormat="false" ht="15" hidden="false" customHeight="true" outlineLevel="0" collapsed="false">
      <c r="A57" s="29"/>
      <c r="B57" s="30"/>
      <c r="C57" s="30"/>
    </row>
    <row r="58" customFormat="false" ht="15" hidden="false" customHeight="true" outlineLevel="0" collapsed="false">
      <c r="A58" s="29"/>
      <c r="B58" s="30"/>
      <c r="C58" s="30"/>
    </row>
    <row r="59" customFormat="false" ht="15" hidden="false" customHeight="true" outlineLevel="0" collapsed="false">
      <c r="A59" s="29"/>
      <c r="B59" s="30"/>
      <c r="C59" s="30"/>
    </row>
    <row r="60" customFormat="false" ht="15" hidden="false" customHeight="true" outlineLevel="0" collapsed="false">
      <c r="A60" s="29"/>
      <c r="B60" s="30"/>
      <c r="C60" s="30"/>
    </row>
    <row r="61" customFormat="false" ht="15" hidden="false" customHeight="true" outlineLevel="0" collapsed="false">
      <c r="A61" s="29"/>
      <c r="B61" s="30"/>
      <c r="C61" s="30"/>
    </row>
    <row r="62" customFormat="false" ht="15" hidden="false" customHeight="true" outlineLevel="0" collapsed="false">
      <c r="A62" s="29"/>
      <c r="B62" s="30"/>
      <c r="C62" s="30"/>
    </row>
    <row r="63" customFormat="false" ht="15" hidden="false" customHeight="true" outlineLevel="0" collapsed="false">
      <c r="A63" s="29"/>
      <c r="B63" s="30"/>
      <c r="C63" s="30"/>
    </row>
    <row r="64" customFormat="false" ht="15" hidden="false" customHeight="true" outlineLevel="0" collapsed="false">
      <c r="A64" s="29"/>
      <c r="B64" s="30"/>
      <c r="C64" s="30"/>
    </row>
    <row r="65" customFormat="false" ht="15" hidden="false" customHeight="true" outlineLevel="0" collapsed="false">
      <c r="A65" s="29"/>
      <c r="B65" s="30"/>
      <c r="C65" s="30"/>
    </row>
    <row r="66" customFormat="false" ht="15" hidden="false" customHeight="true" outlineLevel="0" collapsed="false">
      <c r="A66" s="29"/>
      <c r="B66" s="30"/>
      <c r="C66" s="30"/>
    </row>
    <row r="67" customFormat="false" ht="15" hidden="false" customHeight="true" outlineLevel="0" collapsed="false">
      <c r="A67" s="29"/>
      <c r="B67" s="30"/>
      <c r="C67" s="30"/>
    </row>
    <row r="68" customFormat="false" ht="15" hidden="false" customHeight="true" outlineLevel="0" collapsed="false">
      <c r="A68" s="29"/>
      <c r="B68" s="30"/>
      <c r="C68" s="30"/>
    </row>
    <row r="69" customFormat="false" ht="15" hidden="false" customHeight="true" outlineLevel="0" collapsed="false">
      <c r="A69" s="29"/>
      <c r="B69" s="30"/>
      <c r="C69" s="30"/>
    </row>
    <row r="70" customFormat="false" ht="15" hidden="false" customHeight="true" outlineLevel="0" collapsed="false">
      <c r="A70" s="29"/>
      <c r="B70" s="30"/>
      <c r="C70" s="30"/>
    </row>
    <row r="71" customFormat="false" ht="15" hidden="false" customHeight="true" outlineLevel="0" collapsed="false">
      <c r="A71" s="29"/>
      <c r="B71" s="30"/>
      <c r="C71" s="30"/>
    </row>
    <row r="72" customFormat="false" ht="15" hidden="false" customHeight="true" outlineLevel="0" collapsed="false">
      <c r="A72" s="29"/>
      <c r="B72" s="30"/>
      <c r="C72" s="30"/>
    </row>
    <row r="73" customFormat="false" ht="15" hidden="false" customHeight="true" outlineLevel="0" collapsed="false">
      <c r="A73" s="29"/>
      <c r="B73" s="30"/>
      <c r="C73" s="30"/>
    </row>
    <row r="74" customFormat="false" ht="15" hidden="false" customHeight="true" outlineLevel="0" collapsed="false">
      <c r="A74" s="29"/>
      <c r="B74" s="30"/>
      <c r="C74" s="30"/>
    </row>
    <row r="75" customFormat="false" ht="15" hidden="false" customHeight="true" outlineLevel="0" collapsed="false">
      <c r="A75" s="29"/>
      <c r="B75" s="30"/>
      <c r="C75" s="30"/>
    </row>
    <row r="76" customFormat="false" ht="15" hidden="false" customHeight="true" outlineLevel="0" collapsed="false">
      <c r="A76" s="29"/>
      <c r="B76" s="30"/>
      <c r="C76" s="30"/>
    </row>
    <row r="77" customFormat="false" ht="15" hidden="false" customHeight="true" outlineLevel="0" collapsed="false">
      <c r="A77" s="29"/>
      <c r="B77" s="30"/>
      <c r="C77" s="30"/>
    </row>
    <row r="78" customFormat="false" ht="15" hidden="false" customHeight="true" outlineLevel="0" collapsed="false">
      <c r="A78" s="29"/>
      <c r="B78" s="30"/>
      <c r="C78" s="30"/>
    </row>
    <row r="79" customFormat="false" ht="15" hidden="false" customHeight="true" outlineLevel="0" collapsed="false">
      <c r="A79" s="29"/>
      <c r="B79" s="30"/>
      <c r="C79" s="30"/>
    </row>
    <row r="80" customFormat="false" ht="15" hidden="false" customHeight="true" outlineLevel="0" collapsed="false">
      <c r="A80" s="29"/>
      <c r="B80" s="30"/>
      <c r="C80" s="30"/>
    </row>
    <row r="81" customFormat="false" ht="15" hidden="false" customHeight="true" outlineLevel="0" collapsed="false">
      <c r="A81" s="29"/>
      <c r="B81" s="30"/>
      <c r="C81" s="30"/>
    </row>
    <row r="82" customFormat="false" ht="15" hidden="false" customHeight="true" outlineLevel="0" collapsed="false">
      <c r="A82" s="29"/>
      <c r="B82" s="30"/>
      <c r="C82" s="30"/>
    </row>
    <row r="83" customFormat="false" ht="15" hidden="false" customHeight="true" outlineLevel="0" collapsed="false">
      <c r="A83" s="29"/>
      <c r="B83" s="30"/>
      <c r="C83" s="30"/>
    </row>
    <row r="84" customFormat="false" ht="15" hidden="false" customHeight="true" outlineLevel="0" collapsed="false">
      <c r="A84" s="29"/>
      <c r="B84" s="30"/>
      <c r="C84" s="30"/>
    </row>
    <row r="85" customFormat="false" ht="15" hidden="false" customHeight="true" outlineLevel="0" collapsed="false">
      <c r="A85" s="29"/>
      <c r="B85" s="30"/>
      <c r="C85" s="30"/>
    </row>
    <row r="86" customFormat="false" ht="15" hidden="false" customHeight="true" outlineLevel="0" collapsed="false">
      <c r="A86" s="29"/>
      <c r="B86" s="30"/>
      <c r="C86" s="30"/>
    </row>
    <row r="87" customFormat="false" ht="15" hidden="false" customHeight="true" outlineLevel="0" collapsed="false">
      <c r="A87" s="29"/>
      <c r="B87" s="30"/>
      <c r="C87" s="30"/>
    </row>
    <row r="88" customFormat="false" ht="15" hidden="false" customHeight="true" outlineLevel="0" collapsed="false">
      <c r="A88" s="29"/>
      <c r="B88" s="30"/>
      <c r="C88" s="30"/>
    </row>
    <row r="89" customFormat="false" ht="15" hidden="false" customHeight="true" outlineLevel="0" collapsed="false">
      <c r="A89" s="29"/>
      <c r="B89" s="30"/>
      <c r="C89" s="30"/>
    </row>
    <row r="90" customFormat="false" ht="15" hidden="false" customHeight="true" outlineLevel="0" collapsed="false">
      <c r="A90" s="29"/>
      <c r="B90" s="30"/>
      <c r="C90" s="30"/>
    </row>
    <row r="91" customFormat="false" ht="15" hidden="false" customHeight="true" outlineLevel="0" collapsed="false">
      <c r="A91" s="29"/>
      <c r="B91" s="30"/>
      <c r="C91" s="30"/>
    </row>
    <row r="92" customFormat="false" ht="15" hidden="false" customHeight="true" outlineLevel="0" collapsed="false">
      <c r="A92" s="29"/>
      <c r="B92" s="30"/>
      <c r="C92" s="30"/>
    </row>
    <row r="93" customFormat="false" ht="15" hidden="false" customHeight="true" outlineLevel="0" collapsed="false">
      <c r="A93" s="29"/>
      <c r="B93" s="30"/>
      <c r="C93" s="30"/>
    </row>
    <row r="94" customFormat="false" ht="15" hidden="false" customHeight="true" outlineLevel="0" collapsed="false">
      <c r="A94" s="29"/>
      <c r="B94" s="30"/>
      <c r="C94" s="30"/>
    </row>
    <row r="95" customFormat="false" ht="15" hidden="false" customHeight="true" outlineLevel="0" collapsed="false">
      <c r="A95" s="29"/>
      <c r="B95" s="30"/>
      <c r="C95" s="30"/>
    </row>
    <row r="96" customFormat="false" ht="15" hidden="false" customHeight="true" outlineLevel="0" collapsed="false">
      <c r="A96" s="29"/>
      <c r="B96" s="30"/>
      <c r="C96" s="30"/>
    </row>
    <row r="97" customFormat="false" ht="15" hidden="false" customHeight="true" outlineLevel="0" collapsed="false">
      <c r="A97" s="29"/>
      <c r="B97" s="30"/>
      <c r="C97" s="30"/>
    </row>
    <row r="98" customFormat="false" ht="15" hidden="false" customHeight="true" outlineLevel="0" collapsed="false">
      <c r="A98" s="29"/>
      <c r="B98" s="30"/>
      <c r="C98" s="30"/>
    </row>
    <row r="99" customFormat="false" ht="15" hidden="false" customHeight="true" outlineLevel="0" collapsed="false">
      <c r="A99" s="29"/>
      <c r="B99" s="30"/>
      <c r="C99" s="30"/>
    </row>
    <row r="100" customFormat="false" ht="15" hidden="false" customHeight="true" outlineLevel="0" collapsed="false">
      <c r="A100" s="29"/>
      <c r="B100" s="30"/>
      <c r="C100" s="30"/>
    </row>
    <row r="101" customFormat="false" ht="15" hidden="false" customHeight="true" outlineLevel="0" collapsed="false">
      <c r="A101" s="29"/>
      <c r="B101" s="30"/>
      <c r="C101" s="30"/>
    </row>
  </sheetData>
  <dataValidations count="2">
    <dataValidation allowBlank="true" errorStyle="stop" operator="between" showDropDown="false" showErrorMessage="false" showInputMessage="false" sqref="B2:B101" type="list">
      <formula1>"Modderbee,SATRF Club,Pretoria RC,Bloem Marksmen,Cape Rifle Club"</formula1>
      <formula2>0</formula2>
    </dataValidation>
    <dataValidation allowBlank="true" errorStyle="stop" operator="between" showDropDown="false" showErrorMessage="false" showInputMessage="false" sqref="C2:C101" type="list">
      <formula1>"open,junior,veteran,ladies"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60"/>
  </cols>
  <sheetData>
    <row r="1" customFormat="false" ht="30" hidden="false" customHeight="true" outlineLevel="0" collapsed="false">
      <c r="A1" s="6" t="s">
        <v>145</v>
      </c>
      <c r="B1" s="6" t="s">
        <v>146</v>
      </c>
    </row>
    <row r="2" customFormat="false" ht="15" hidden="false" customHeight="true" outlineLevel="0" collapsed="false">
      <c r="A2" s="29" t="s">
        <v>30</v>
      </c>
      <c r="B2" s="29" t="s">
        <v>147</v>
      </c>
    </row>
    <row r="3" customFormat="false" ht="15" hidden="false" customHeight="true" outlineLevel="0" collapsed="false">
      <c r="A3" s="29" t="s">
        <v>33</v>
      </c>
      <c r="B3" s="29" t="s">
        <v>148</v>
      </c>
    </row>
    <row r="4" customFormat="false" ht="15" hidden="false" customHeight="true" outlineLevel="0" collapsed="false">
      <c r="A4" s="29" t="s">
        <v>24</v>
      </c>
      <c r="B4" s="29" t="s">
        <v>149</v>
      </c>
    </row>
    <row r="5" customFormat="false" ht="15" hidden="false" customHeight="true" outlineLevel="0" collapsed="false">
      <c r="A5" s="29" t="s">
        <v>150</v>
      </c>
      <c r="B5" s="29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1" t="n">
        <v>46023</v>
      </c>
    </row>
    <row r="2" customFormat="false" ht="15" hidden="false" customHeight="true" outlineLevel="0" collapsed="false">
      <c r="A2" s="31" t="n">
        <v>46024</v>
      </c>
    </row>
    <row r="3" customFormat="false" ht="15" hidden="false" customHeight="true" outlineLevel="0" collapsed="false">
      <c r="A3" s="31" t="n">
        <v>46025</v>
      </c>
    </row>
    <row r="4" customFormat="false" ht="15" hidden="false" customHeight="true" outlineLevel="0" collapsed="false">
      <c r="A4" s="31" t="n">
        <v>46026</v>
      </c>
    </row>
    <row r="5" customFormat="false" ht="15" hidden="false" customHeight="true" outlineLevel="0" collapsed="false">
      <c r="A5" s="31" t="n">
        <v>46027</v>
      </c>
    </row>
    <row r="6" customFormat="false" ht="15" hidden="false" customHeight="true" outlineLevel="0" collapsed="false">
      <c r="A6" s="31" t="n">
        <v>46028</v>
      </c>
    </row>
    <row r="7" customFormat="false" ht="15" hidden="false" customHeight="true" outlineLevel="0" collapsed="false">
      <c r="A7" s="31" t="n">
        <v>46029</v>
      </c>
    </row>
    <row r="8" customFormat="false" ht="15" hidden="false" customHeight="true" outlineLevel="0" collapsed="false">
      <c r="A8" s="31" t="n">
        <v>46030</v>
      </c>
    </row>
    <row r="9" customFormat="false" ht="15" hidden="false" customHeight="true" outlineLevel="0" collapsed="false">
      <c r="A9" s="31" t="n">
        <v>46031</v>
      </c>
    </row>
    <row r="10" customFormat="false" ht="15" hidden="false" customHeight="true" outlineLevel="0" collapsed="false">
      <c r="A10" s="31" t="n">
        <v>46032</v>
      </c>
    </row>
    <row r="11" customFormat="false" ht="15" hidden="false" customHeight="true" outlineLevel="0" collapsed="false">
      <c r="A11" s="31" t="n">
        <v>46033</v>
      </c>
    </row>
    <row r="12" customFormat="false" ht="15" hidden="false" customHeight="true" outlineLevel="0" collapsed="false">
      <c r="A12" s="31" t="n">
        <v>46034</v>
      </c>
    </row>
    <row r="13" customFormat="false" ht="15" hidden="false" customHeight="true" outlineLevel="0" collapsed="false">
      <c r="A13" s="31" t="n">
        <v>46035</v>
      </c>
    </row>
    <row r="14" customFormat="false" ht="15" hidden="false" customHeight="true" outlineLevel="0" collapsed="false">
      <c r="A14" s="31" t="n">
        <v>46036</v>
      </c>
    </row>
    <row r="15" customFormat="false" ht="15" hidden="false" customHeight="true" outlineLevel="0" collapsed="false">
      <c r="A15" s="31" t="n">
        <v>46037</v>
      </c>
    </row>
    <row r="16" customFormat="false" ht="15" hidden="false" customHeight="true" outlineLevel="0" collapsed="false">
      <c r="A16" s="31" t="n">
        <v>46038</v>
      </c>
    </row>
    <row r="17" customFormat="false" ht="15" hidden="false" customHeight="true" outlineLevel="0" collapsed="false">
      <c r="A17" s="31" t="n">
        <v>46039</v>
      </c>
    </row>
    <row r="18" customFormat="false" ht="15" hidden="false" customHeight="true" outlineLevel="0" collapsed="false">
      <c r="A18" s="31" t="n">
        <v>46040</v>
      </c>
    </row>
    <row r="19" customFormat="false" ht="15" hidden="false" customHeight="true" outlineLevel="0" collapsed="false">
      <c r="A19" s="31" t="n">
        <v>46041</v>
      </c>
    </row>
    <row r="20" customFormat="false" ht="15" hidden="false" customHeight="true" outlineLevel="0" collapsed="false">
      <c r="A20" s="31" t="n">
        <v>46042</v>
      </c>
    </row>
    <row r="21" customFormat="false" ht="15" hidden="false" customHeight="true" outlineLevel="0" collapsed="false">
      <c r="A21" s="31" t="n">
        <v>46043</v>
      </c>
    </row>
    <row r="22" customFormat="false" ht="15" hidden="false" customHeight="true" outlineLevel="0" collapsed="false">
      <c r="A22" s="31" t="n">
        <v>46044</v>
      </c>
    </row>
    <row r="23" customFormat="false" ht="15" hidden="false" customHeight="true" outlineLevel="0" collapsed="false">
      <c r="A23" s="31" t="n">
        <v>46045</v>
      </c>
    </row>
    <row r="24" customFormat="false" ht="15" hidden="false" customHeight="true" outlineLevel="0" collapsed="false">
      <c r="A24" s="31" t="n">
        <v>46046</v>
      </c>
    </row>
    <row r="25" customFormat="false" ht="15" hidden="false" customHeight="true" outlineLevel="0" collapsed="false">
      <c r="A25" s="31" t="n">
        <v>46047</v>
      </c>
    </row>
    <row r="26" customFormat="false" ht="15" hidden="false" customHeight="true" outlineLevel="0" collapsed="false">
      <c r="A26" s="31" t="n">
        <v>46048</v>
      </c>
    </row>
    <row r="27" customFormat="false" ht="15" hidden="false" customHeight="true" outlineLevel="0" collapsed="false">
      <c r="A27" s="31" t="n">
        <v>46049</v>
      </c>
    </row>
    <row r="28" customFormat="false" ht="15" hidden="false" customHeight="true" outlineLevel="0" collapsed="false">
      <c r="A28" s="31" t="n">
        <v>46050</v>
      </c>
    </row>
    <row r="29" customFormat="false" ht="15" hidden="false" customHeight="true" outlineLevel="0" collapsed="false">
      <c r="A29" s="31" t="n">
        <v>46051</v>
      </c>
    </row>
    <row r="30" customFormat="false" ht="15" hidden="false" customHeight="true" outlineLevel="0" collapsed="false">
      <c r="A30" s="31" t="n">
        <v>46052</v>
      </c>
    </row>
    <row r="31" customFormat="false" ht="15" hidden="false" customHeight="true" outlineLevel="0" collapsed="false">
      <c r="A31" s="31" t="n">
        <v>46053</v>
      </c>
    </row>
    <row r="32" customFormat="false" ht="15" hidden="false" customHeight="true" outlineLevel="0" collapsed="false">
      <c r="A32" s="31" t="n">
        <v>46054</v>
      </c>
    </row>
    <row r="33" customFormat="false" ht="15" hidden="false" customHeight="true" outlineLevel="0" collapsed="false">
      <c r="A33" s="31" t="n">
        <v>46055</v>
      </c>
    </row>
    <row r="34" customFormat="false" ht="15" hidden="false" customHeight="true" outlineLevel="0" collapsed="false">
      <c r="A34" s="31" t="n">
        <v>46056</v>
      </c>
    </row>
    <row r="35" customFormat="false" ht="15" hidden="false" customHeight="true" outlineLevel="0" collapsed="false">
      <c r="A35" s="31" t="n">
        <v>46057</v>
      </c>
    </row>
    <row r="36" customFormat="false" ht="15" hidden="false" customHeight="true" outlineLevel="0" collapsed="false">
      <c r="A36" s="31" t="n">
        <v>46058</v>
      </c>
    </row>
    <row r="37" customFormat="false" ht="15" hidden="false" customHeight="true" outlineLevel="0" collapsed="false">
      <c r="A37" s="31" t="n">
        <v>46059</v>
      </c>
    </row>
    <row r="38" customFormat="false" ht="15" hidden="false" customHeight="true" outlineLevel="0" collapsed="false">
      <c r="A38" s="31" t="n">
        <v>46060</v>
      </c>
    </row>
    <row r="39" customFormat="false" ht="15" hidden="false" customHeight="true" outlineLevel="0" collapsed="false">
      <c r="A39" s="31" t="n">
        <v>46061</v>
      </c>
    </row>
    <row r="40" customFormat="false" ht="15" hidden="false" customHeight="true" outlineLevel="0" collapsed="false">
      <c r="A40" s="31" t="n">
        <v>46062</v>
      </c>
    </row>
    <row r="41" customFormat="false" ht="15" hidden="false" customHeight="true" outlineLevel="0" collapsed="false">
      <c r="A41" s="31" t="n">
        <v>46063</v>
      </c>
    </row>
    <row r="42" customFormat="false" ht="15" hidden="false" customHeight="true" outlineLevel="0" collapsed="false">
      <c r="A42" s="31" t="n">
        <v>46064</v>
      </c>
    </row>
    <row r="43" customFormat="false" ht="15" hidden="false" customHeight="true" outlineLevel="0" collapsed="false">
      <c r="A43" s="31" t="n">
        <v>46065</v>
      </c>
    </row>
    <row r="44" customFormat="false" ht="15" hidden="false" customHeight="true" outlineLevel="0" collapsed="false">
      <c r="A44" s="31" t="n">
        <v>46066</v>
      </c>
    </row>
    <row r="45" customFormat="false" ht="15" hidden="false" customHeight="true" outlineLevel="0" collapsed="false">
      <c r="A45" s="31" t="n">
        <v>46067</v>
      </c>
    </row>
    <row r="46" customFormat="false" ht="15" hidden="false" customHeight="true" outlineLevel="0" collapsed="false">
      <c r="A46" s="31" t="n">
        <v>46068</v>
      </c>
    </row>
    <row r="47" customFormat="false" ht="15" hidden="false" customHeight="true" outlineLevel="0" collapsed="false">
      <c r="A47" s="31" t="n">
        <v>46069</v>
      </c>
    </row>
    <row r="48" customFormat="false" ht="15" hidden="false" customHeight="true" outlineLevel="0" collapsed="false">
      <c r="A48" s="31" t="n">
        <v>46070</v>
      </c>
    </row>
    <row r="49" customFormat="false" ht="15" hidden="false" customHeight="true" outlineLevel="0" collapsed="false">
      <c r="A49" s="31" t="n">
        <v>46071</v>
      </c>
    </row>
    <row r="50" customFormat="false" ht="15" hidden="false" customHeight="true" outlineLevel="0" collapsed="false">
      <c r="A50" s="31" t="n">
        <v>46072</v>
      </c>
    </row>
    <row r="51" customFormat="false" ht="15" hidden="false" customHeight="true" outlineLevel="0" collapsed="false">
      <c r="A51" s="31" t="n">
        <v>46073</v>
      </c>
    </row>
    <row r="52" customFormat="false" ht="15" hidden="false" customHeight="true" outlineLevel="0" collapsed="false">
      <c r="A52" s="31" t="n">
        <v>46074</v>
      </c>
    </row>
    <row r="53" customFormat="false" ht="15" hidden="false" customHeight="true" outlineLevel="0" collapsed="false">
      <c r="A53" s="31" t="n">
        <v>46075</v>
      </c>
    </row>
    <row r="54" customFormat="false" ht="15" hidden="false" customHeight="true" outlineLevel="0" collapsed="false">
      <c r="A54" s="31" t="n">
        <v>46076</v>
      </c>
    </row>
    <row r="55" customFormat="false" ht="15" hidden="false" customHeight="true" outlineLevel="0" collapsed="false">
      <c r="A55" s="31" t="n">
        <v>46077</v>
      </c>
    </row>
    <row r="56" customFormat="false" ht="15" hidden="false" customHeight="true" outlineLevel="0" collapsed="false">
      <c r="A56" s="31" t="n">
        <v>46078</v>
      </c>
    </row>
    <row r="57" customFormat="false" ht="15" hidden="false" customHeight="true" outlineLevel="0" collapsed="false">
      <c r="A57" s="31" t="n">
        <v>46079</v>
      </c>
    </row>
    <row r="58" customFormat="false" ht="15" hidden="false" customHeight="true" outlineLevel="0" collapsed="false">
      <c r="A58" s="31" t="n">
        <v>46080</v>
      </c>
    </row>
    <row r="59" customFormat="false" ht="15" hidden="false" customHeight="true" outlineLevel="0" collapsed="false">
      <c r="A59" s="31" t="n">
        <v>46081</v>
      </c>
    </row>
    <row r="60" customFormat="false" ht="15" hidden="false" customHeight="true" outlineLevel="0" collapsed="false">
      <c r="A60" s="31" t="n">
        <v>46082</v>
      </c>
    </row>
    <row r="61" customFormat="false" ht="15" hidden="false" customHeight="true" outlineLevel="0" collapsed="false">
      <c r="A61" s="31" t="n">
        <v>46083</v>
      </c>
    </row>
    <row r="62" customFormat="false" ht="15" hidden="false" customHeight="true" outlineLevel="0" collapsed="false">
      <c r="A62" s="31" t="n">
        <v>46084</v>
      </c>
    </row>
    <row r="63" customFormat="false" ht="15" hidden="false" customHeight="true" outlineLevel="0" collapsed="false">
      <c r="A63" s="31" t="n">
        <v>46085</v>
      </c>
    </row>
    <row r="64" customFormat="false" ht="15" hidden="false" customHeight="true" outlineLevel="0" collapsed="false">
      <c r="A64" s="31" t="n">
        <v>46086</v>
      </c>
    </row>
    <row r="65" customFormat="false" ht="15" hidden="false" customHeight="true" outlineLevel="0" collapsed="false">
      <c r="A65" s="31" t="n">
        <v>46087</v>
      </c>
    </row>
    <row r="66" customFormat="false" ht="15" hidden="false" customHeight="true" outlineLevel="0" collapsed="false">
      <c r="A66" s="31" t="n">
        <v>46088</v>
      </c>
    </row>
    <row r="67" customFormat="false" ht="15" hidden="false" customHeight="true" outlineLevel="0" collapsed="false">
      <c r="A67" s="31" t="n">
        <v>46089</v>
      </c>
    </row>
    <row r="68" customFormat="false" ht="15" hidden="false" customHeight="true" outlineLevel="0" collapsed="false">
      <c r="A68" s="31" t="n">
        <v>46090</v>
      </c>
    </row>
    <row r="69" customFormat="false" ht="15" hidden="false" customHeight="true" outlineLevel="0" collapsed="false">
      <c r="A69" s="31" t="n">
        <v>46091</v>
      </c>
    </row>
    <row r="70" customFormat="false" ht="15" hidden="false" customHeight="true" outlineLevel="0" collapsed="false">
      <c r="A70" s="31" t="n">
        <v>46092</v>
      </c>
    </row>
    <row r="71" customFormat="false" ht="15" hidden="false" customHeight="true" outlineLevel="0" collapsed="false">
      <c r="A71" s="31" t="n">
        <v>46093</v>
      </c>
    </row>
    <row r="72" customFormat="false" ht="15" hidden="false" customHeight="true" outlineLevel="0" collapsed="false">
      <c r="A72" s="31" t="n">
        <v>46094</v>
      </c>
    </row>
    <row r="73" customFormat="false" ht="15" hidden="false" customHeight="true" outlineLevel="0" collapsed="false">
      <c r="A73" s="31" t="n">
        <v>46095</v>
      </c>
    </row>
    <row r="74" customFormat="false" ht="15" hidden="false" customHeight="true" outlineLevel="0" collapsed="false">
      <c r="A74" s="31" t="n">
        <v>46096</v>
      </c>
    </row>
    <row r="75" customFormat="false" ht="15" hidden="false" customHeight="true" outlineLevel="0" collapsed="false">
      <c r="A75" s="31" t="n">
        <v>46097</v>
      </c>
    </row>
    <row r="76" customFormat="false" ht="15" hidden="false" customHeight="true" outlineLevel="0" collapsed="false">
      <c r="A76" s="31" t="n">
        <v>46098</v>
      </c>
    </row>
    <row r="77" customFormat="false" ht="15" hidden="false" customHeight="true" outlineLevel="0" collapsed="false">
      <c r="A77" s="31" t="n">
        <v>46099</v>
      </c>
    </row>
    <row r="78" customFormat="false" ht="15" hidden="false" customHeight="true" outlineLevel="0" collapsed="false">
      <c r="A78" s="31" t="n">
        <v>46100</v>
      </c>
    </row>
    <row r="79" customFormat="false" ht="15" hidden="false" customHeight="true" outlineLevel="0" collapsed="false">
      <c r="A79" s="31" t="n">
        <v>46101</v>
      </c>
    </row>
    <row r="80" customFormat="false" ht="15" hidden="false" customHeight="true" outlineLevel="0" collapsed="false">
      <c r="A80" s="31" t="n">
        <v>46102</v>
      </c>
    </row>
    <row r="81" customFormat="false" ht="15" hidden="false" customHeight="true" outlineLevel="0" collapsed="false">
      <c r="A81" s="31" t="n">
        <v>46103</v>
      </c>
    </row>
    <row r="82" customFormat="false" ht="15" hidden="false" customHeight="true" outlineLevel="0" collapsed="false">
      <c r="A82" s="31" t="n">
        <v>46104</v>
      </c>
    </row>
    <row r="83" customFormat="false" ht="15" hidden="false" customHeight="true" outlineLevel="0" collapsed="false">
      <c r="A83" s="31" t="n">
        <v>46105</v>
      </c>
    </row>
    <row r="84" customFormat="false" ht="15" hidden="false" customHeight="true" outlineLevel="0" collapsed="false">
      <c r="A84" s="31" t="n">
        <v>46106</v>
      </c>
    </row>
    <row r="85" customFormat="false" ht="15" hidden="false" customHeight="true" outlineLevel="0" collapsed="false">
      <c r="A85" s="31" t="n">
        <v>46107</v>
      </c>
    </row>
    <row r="86" customFormat="false" ht="15" hidden="false" customHeight="true" outlineLevel="0" collapsed="false">
      <c r="A86" s="31" t="n">
        <v>46108</v>
      </c>
    </row>
    <row r="87" customFormat="false" ht="15" hidden="false" customHeight="true" outlineLevel="0" collapsed="false">
      <c r="A87" s="31" t="n">
        <v>46109</v>
      </c>
    </row>
    <row r="88" customFormat="false" ht="15" hidden="false" customHeight="true" outlineLevel="0" collapsed="false">
      <c r="A88" s="31" t="n">
        <v>46110</v>
      </c>
    </row>
    <row r="89" customFormat="false" ht="15" hidden="false" customHeight="true" outlineLevel="0" collapsed="false">
      <c r="A89" s="31" t="n">
        <v>46111</v>
      </c>
    </row>
    <row r="90" customFormat="false" ht="15" hidden="false" customHeight="true" outlineLevel="0" collapsed="false">
      <c r="A90" s="31" t="n">
        <v>46112</v>
      </c>
    </row>
    <row r="91" customFormat="false" ht="15" hidden="false" customHeight="true" outlineLevel="0" collapsed="false">
      <c r="A91" s="31" t="n">
        <v>46113</v>
      </c>
    </row>
    <row r="92" customFormat="false" ht="15" hidden="false" customHeight="true" outlineLevel="0" collapsed="false">
      <c r="A92" s="31" t="n">
        <v>46114</v>
      </c>
    </row>
    <row r="93" customFormat="false" ht="15" hidden="false" customHeight="true" outlineLevel="0" collapsed="false">
      <c r="A93" s="31" t="n">
        <v>46115</v>
      </c>
    </row>
    <row r="94" customFormat="false" ht="15" hidden="false" customHeight="true" outlineLevel="0" collapsed="false">
      <c r="A94" s="31" t="n">
        <v>46116</v>
      </c>
    </row>
    <row r="95" customFormat="false" ht="15" hidden="false" customHeight="true" outlineLevel="0" collapsed="false">
      <c r="A95" s="31" t="n">
        <v>46117</v>
      </c>
    </row>
    <row r="96" customFormat="false" ht="15" hidden="false" customHeight="true" outlineLevel="0" collapsed="false">
      <c r="A96" s="31" t="n">
        <v>46118</v>
      </c>
    </row>
    <row r="97" customFormat="false" ht="15" hidden="false" customHeight="true" outlineLevel="0" collapsed="false">
      <c r="A97" s="31" t="n">
        <v>46119</v>
      </c>
    </row>
    <row r="98" customFormat="false" ht="15" hidden="false" customHeight="true" outlineLevel="0" collapsed="false">
      <c r="A98" s="31" t="n">
        <v>46120</v>
      </c>
    </row>
    <row r="99" customFormat="false" ht="15" hidden="false" customHeight="true" outlineLevel="0" collapsed="false">
      <c r="A99" s="31" t="n">
        <v>46121</v>
      </c>
    </row>
    <row r="100" customFormat="false" ht="15" hidden="false" customHeight="true" outlineLevel="0" collapsed="false">
      <c r="A100" s="31" t="n">
        <v>46122</v>
      </c>
    </row>
    <row r="101" customFormat="false" ht="15" hidden="false" customHeight="true" outlineLevel="0" collapsed="false">
      <c r="A101" s="31" t="n">
        <v>46123</v>
      </c>
    </row>
    <row r="102" customFormat="false" ht="15" hidden="false" customHeight="true" outlineLevel="0" collapsed="false">
      <c r="A102" s="31" t="n">
        <v>46124</v>
      </c>
    </row>
    <row r="103" customFormat="false" ht="15" hidden="false" customHeight="true" outlineLevel="0" collapsed="false">
      <c r="A103" s="31" t="n">
        <v>46125</v>
      </c>
    </row>
    <row r="104" customFormat="false" ht="15" hidden="false" customHeight="true" outlineLevel="0" collapsed="false">
      <c r="A104" s="31" t="n">
        <v>46126</v>
      </c>
    </row>
    <row r="105" customFormat="false" ht="15" hidden="false" customHeight="true" outlineLevel="0" collapsed="false">
      <c r="A105" s="31" t="n">
        <v>46127</v>
      </c>
    </row>
    <row r="106" customFormat="false" ht="15" hidden="false" customHeight="true" outlineLevel="0" collapsed="false">
      <c r="A106" s="31" t="n">
        <v>46128</v>
      </c>
    </row>
    <row r="107" customFormat="false" ht="15" hidden="false" customHeight="true" outlineLevel="0" collapsed="false">
      <c r="A107" s="31" t="n">
        <v>46129</v>
      </c>
    </row>
    <row r="108" customFormat="false" ht="15" hidden="false" customHeight="true" outlineLevel="0" collapsed="false">
      <c r="A108" s="31" t="n">
        <v>46130</v>
      </c>
    </row>
    <row r="109" customFormat="false" ht="15" hidden="false" customHeight="true" outlineLevel="0" collapsed="false">
      <c r="A109" s="31" t="n">
        <v>46131</v>
      </c>
    </row>
    <row r="110" customFormat="false" ht="15" hidden="false" customHeight="true" outlineLevel="0" collapsed="false">
      <c r="A110" s="31" t="n">
        <v>46132</v>
      </c>
    </row>
    <row r="111" customFormat="false" ht="15" hidden="false" customHeight="true" outlineLevel="0" collapsed="false">
      <c r="A111" s="31" t="n">
        <v>46133</v>
      </c>
    </row>
    <row r="112" customFormat="false" ht="15" hidden="false" customHeight="true" outlineLevel="0" collapsed="false">
      <c r="A112" s="31" t="n">
        <v>46134</v>
      </c>
    </row>
    <row r="113" customFormat="false" ht="15" hidden="false" customHeight="true" outlineLevel="0" collapsed="false">
      <c r="A113" s="31" t="n">
        <v>46135</v>
      </c>
    </row>
    <row r="114" customFormat="false" ht="15" hidden="false" customHeight="true" outlineLevel="0" collapsed="false">
      <c r="A114" s="31" t="n">
        <v>46136</v>
      </c>
    </row>
    <row r="115" customFormat="false" ht="15" hidden="false" customHeight="true" outlineLevel="0" collapsed="false">
      <c r="A115" s="31" t="n">
        <v>46137</v>
      </c>
    </row>
    <row r="116" customFormat="false" ht="15" hidden="false" customHeight="true" outlineLevel="0" collapsed="false">
      <c r="A116" s="31" t="n">
        <v>46138</v>
      </c>
    </row>
    <row r="117" customFormat="false" ht="15" hidden="false" customHeight="true" outlineLevel="0" collapsed="false">
      <c r="A117" s="31" t="n">
        <v>46139</v>
      </c>
    </row>
    <row r="118" customFormat="false" ht="15" hidden="false" customHeight="true" outlineLevel="0" collapsed="false">
      <c r="A118" s="31" t="n">
        <v>46140</v>
      </c>
    </row>
    <row r="119" customFormat="false" ht="15" hidden="false" customHeight="true" outlineLevel="0" collapsed="false">
      <c r="A119" s="31" t="n">
        <v>46141</v>
      </c>
    </row>
    <row r="120" customFormat="false" ht="15" hidden="false" customHeight="true" outlineLevel="0" collapsed="false">
      <c r="A120" s="31" t="n">
        <v>46142</v>
      </c>
    </row>
    <row r="121" customFormat="false" ht="15" hidden="false" customHeight="true" outlineLevel="0" collapsed="false">
      <c r="A121" s="31" t="n">
        <v>46143</v>
      </c>
    </row>
    <row r="122" customFormat="false" ht="15" hidden="false" customHeight="true" outlineLevel="0" collapsed="false">
      <c r="A122" s="31" t="n">
        <v>46144</v>
      </c>
    </row>
    <row r="123" customFormat="false" ht="15" hidden="false" customHeight="true" outlineLevel="0" collapsed="false">
      <c r="A123" s="31" t="n">
        <v>46145</v>
      </c>
    </row>
    <row r="124" customFormat="false" ht="15" hidden="false" customHeight="true" outlineLevel="0" collapsed="false">
      <c r="A124" s="31" t="n">
        <v>46146</v>
      </c>
    </row>
    <row r="125" customFormat="false" ht="15" hidden="false" customHeight="true" outlineLevel="0" collapsed="false">
      <c r="A125" s="31" t="n">
        <v>46147</v>
      </c>
    </row>
    <row r="126" customFormat="false" ht="15" hidden="false" customHeight="true" outlineLevel="0" collapsed="false">
      <c r="A126" s="31" t="n">
        <v>46148</v>
      </c>
    </row>
    <row r="127" customFormat="false" ht="15" hidden="false" customHeight="true" outlineLevel="0" collapsed="false">
      <c r="A127" s="31" t="n">
        <v>46149</v>
      </c>
    </row>
    <row r="128" customFormat="false" ht="15" hidden="false" customHeight="true" outlineLevel="0" collapsed="false">
      <c r="A128" s="31" t="n">
        <v>46150</v>
      </c>
    </row>
    <row r="129" customFormat="false" ht="15" hidden="false" customHeight="true" outlineLevel="0" collapsed="false">
      <c r="A129" s="31" t="n">
        <v>46151</v>
      </c>
    </row>
    <row r="130" customFormat="false" ht="15" hidden="false" customHeight="true" outlineLevel="0" collapsed="false">
      <c r="A130" s="31" t="n">
        <v>46152</v>
      </c>
    </row>
    <row r="131" customFormat="false" ht="15" hidden="false" customHeight="true" outlineLevel="0" collapsed="false">
      <c r="A131" s="31" t="n">
        <v>46153</v>
      </c>
    </row>
    <row r="132" customFormat="false" ht="15" hidden="false" customHeight="true" outlineLevel="0" collapsed="false">
      <c r="A132" s="31" t="n">
        <v>46154</v>
      </c>
    </row>
    <row r="133" customFormat="false" ht="15" hidden="false" customHeight="true" outlineLevel="0" collapsed="false">
      <c r="A133" s="31" t="n">
        <v>46155</v>
      </c>
    </row>
    <row r="134" customFormat="false" ht="15" hidden="false" customHeight="true" outlineLevel="0" collapsed="false">
      <c r="A134" s="31" t="n">
        <v>46156</v>
      </c>
    </row>
    <row r="135" customFormat="false" ht="15" hidden="false" customHeight="true" outlineLevel="0" collapsed="false">
      <c r="A135" s="31" t="n">
        <v>46157</v>
      </c>
    </row>
    <row r="136" customFormat="false" ht="15" hidden="false" customHeight="true" outlineLevel="0" collapsed="false">
      <c r="A136" s="31" t="n">
        <v>46158</v>
      </c>
    </row>
    <row r="137" customFormat="false" ht="15" hidden="false" customHeight="true" outlineLevel="0" collapsed="false">
      <c r="A137" s="31" t="n">
        <v>46159</v>
      </c>
    </row>
    <row r="138" customFormat="false" ht="15" hidden="false" customHeight="true" outlineLevel="0" collapsed="false">
      <c r="A138" s="31" t="n">
        <v>46160</v>
      </c>
    </row>
    <row r="139" customFormat="false" ht="15" hidden="false" customHeight="true" outlineLevel="0" collapsed="false">
      <c r="A139" s="31" t="n">
        <v>46161</v>
      </c>
    </row>
    <row r="140" customFormat="false" ht="15" hidden="false" customHeight="true" outlineLevel="0" collapsed="false">
      <c r="A140" s="31" t="n">
        <v>46162</v>
      </c>
    </row>
    <row r="141" customFormat="false" ht="15" hidden="false" customHeight="true" outlineLevel="0" collapsed="false">
      <c r="A141" s="31" t="n">
        <v>46163</v>
      </c>
    </row>
    <row r="142" customFormat="false" ht="15" hidden="false" customHeight="true" outlineLevel="0" collapsed="false">
      <c r="A142" s="31" t="n">
        <v>46164</v>
      </c>
    </row>
    <row r="143" customFormat="false" ht="15" hidden="false" customHeight="true" outlineLevel="0" collapsed="false">
      <c r="A143" s="31" t="n">
        <v>46165</v>
      </c>
    </row>
    <row r="144" customFormat="false" ht="15" hidden="false" customHeight="true" outlineLevel="0" collapsed="false">
      <c r="A144" s="31" t="n">
        <v>46166</v>
      </c>
    </row>
    <row r="145" customFormat="false" ht="15" hidden="false" customHeight="true" outlineLevel="0" collapsed="false">
      <c r="A145" s="31" t="n">
        <v>46167</v>
      </c>
    </row>
    <row r="146" customFormat="false" ht="15" hidden="false" customHeight="true" outlineLevel="0" collapsed="false">
      <c r="A146" s="31" t="n">
        <v>46168</v>
      </c>
    </row>
    <row r="147" customFormat="false" ht="15" hidden="false" customHeight="true" outlineLevel="0" collapsed="false">
      <c r="A147" s="31" t="n">
        <v>46169</v>
      </c>
    </row>
    <row r="148" customFormat="false" ht="15" hidden="false" customHeight="true" outlineLevel="0" collapsed="false">
      <c r="A148" s="31" t="n">
        <v>46170</v>
      </c>
    </row>
    <row r="149" customFormat="false" ht="15" hidden="false" customHeight="true" outlineLevel="0" collapsed="false">
      <c r="A149" s="31" t="n">
        <v>46171</v>
      </c>
    </row>
    <row r="150" customFormat="false" ht="15" hidden="false" customHeight="true" outlineLevel="0" collapsed="false">
      <c r="A150" s="31" t="n">
        <v>46172</v>
      </c>
    </row>
    <row r="151" customFormat="false" ht="15" hidden="false" customHeight="true" outlineLevel="0" collapsed="false">
      <c r="A151" s="31" t="n">
        <v>46173</v>
      </c>
    </row>
    <row r="152" customFormat="false" ht="15" hidden="false" customHeight="true" outlineLevel="0" collapsed="false">
      <c r="A152" s="31" t="n">
        <v>46174</v>
      </c>
    </row>
    <row r="153" customFormat="false" ht="15" hidden="false" customHeight="true" outlineLevel="0" collapsed="false">
      <c r="A153" s="31" t="n">
        <v>46175</v>
      </c>
    </row>
    <row r="154" customFormat="false" ht="15" hidden="false" customHeight="true" outlineLevel="0" collapsed="false">
      <c r="A154" s="31" t="n">
        <v>46176</v>
      </c>
    </row>
    <row r="155" customFormat="false" ht="15" hidden="false" customHeight="true" outlineLevel="0" collapsed="false">
      <c r="A155" s="31" t="n">
        <v>46177</v>
      </c>
    </row>
    <row r="156" customFormat="false" ht="15" hidden="false" customHeight="true" outlineLevel="0" collapsed="false">
      <c r="A156" s="31" t="n">
        <v>46178</v>
      </c>
    </row>
    <row r="157" customFormat="false" ht="15" hidden="false" customHeight="true" outlineLevel="0" collapsed="false">
      <c r="A157" s="31" t="n">
        <v>46179</v>
      </c>
    </row>
    <row r="158" customFormat="false" ht="15" hidden="false" customHeight="true" outlineLevel="0" collapsed="false">
      <c r="A158" s="31" t="n">
        <v>46180</v>
      </c>
    </row>
    <row r="159" customFormat="false" ht="15" hidden="false" customHeight="true" outlineLevel="0" collapsed="false">
      <c r="A159" s="31" t="n">
        <v>46181</v>
      </c>
    </row>
    <row r="160" customFormat="false" ht="15" hidden="false" customHeight="true" outlineLevel="0" collapsed="false">
      <c r="A160" s="31" t="n">
        <v>46182</v>
      </c>
    </row>
    <row r="161" customFormat="false" ht="15" hidden="false" customHeight="true" outlineLevel="0" collapsed="false">
      <c r="A161" s="31" t="n">
        <v>46183</v>
      </c>
    </row>
    <row r="162" customFormat="false" ht="15" hidden="false" customHeight="true" outlineLevel="0" collapsed="false">
      <c r="A162" s="31" t="n">
        <v>46184</v>
      </c>
    </row>
    <row r="163" customFormat="false" ht="15" hidden="false" customHeight="true" outlineLevel="0" collapsed="false">
      <c r="A163" s="31" t="n">
        <v>46185</v>
      </c>
    </row>
    <row r="164" customFormat="false" ht="15" hidden="false" customHeight="true" outlineLevel="0" collapsed="false">
      <c r="A164" s="31" t="n">
        <v>46186</v>
      </c>
    </row>
    <row r="165" customFormat="false" ht="15" hidden="false" customHeight="true" outlineLevel="0" collapsed="false">
      <c r="A165" s="31" t="n">
        <v>46187</v>
      </c>
    </row>
    <row r="166" customFormat="false" ht="15" hidden="false" customHeight="true" outlineLevel="0" collapsed="false">
      <c r="A166" s="31" t="n">
        <v>46188</v>
      </c>
    </row>
    <row r="167" customFormat="false" ht="15" hidden="false" customHeight="true" outlineLevel="0" collapsed="false">
      <c r="A167" s="31" t="n">
        <v>46189</v>
      </c>
    </row>
    <row r="168" customFormat="false" ht="15" hidden="false" customHeight="true" outlineLevel="0" collapsed="false">
      <c r="A168" s="31" t="n">
        <v>46190</v>
      </c>
    </row>
    <row r="169" customFormat="false" ht="15" hidden="false" customHeight="true" outlineLevel="0" collapsed="false">
      <c r="A169" s="31" t="n">
        <v>46191</v>
      </c>
    </row>
    <row r="170" customFormat="false" ht="15" hidden="false" customHeight="true" outlineLevel="0" collapsed="false">
      <c r="A170" s="31" t="n">
        <v>46192</v>
      </c>
    </row>
    <row r="171" customFormat="false" ht="15" hidden="false" customHeight="true" outlineLevel="0" collapsed="false">
      <c r="A171" s="31" t="n">
        <v>46193</v>
      </c>
    </row>
    <row r="172" customFormat="false" ht="15" hidden="false" customHeight="true" outlineLevel="0" collapsed="false">
      <c r="A172" s="31" t="n">
        <v>46194</v>
      </c>
    </row>
    <row r="173" customFormat="false" ht="15" hidden="false" customHeight="true" outlineLevel="0" collapsed="false">
      <c r="A173" s="31" t="n">
        <v>46195</v>
      </c>
    </row>
    <row r="174" customFormat="false" ht="15" hidden="false" customHeight="true" outlineLevel="0" collapsed="false">
      <c r="A174" s="31" t="n">
        <v>46196</v>
      </c>
    </row>
    <row r="175" customFormat="false" ht="15" hidden="false" customHeight="true" outlineLevel="0" collapsed="false">
      <c r="A175" s="31" t="n">
        <v>46197</v>
      </c>
    </row>
    <row r="176" customFormat="false" ht="15" hidden="false" customHeight="true" outlineLevel="0" collapsed="false">
      <c r="A176" s="31" t="n">
        <v>46198</v>
      </c>
    </row>
    <row r="177" customFormat="false" ht="15" hidden="false" customHeight="true" outlineLevel="0" collapsed="false">
      <c r="A177" s="31" t="n">
        <v>46199</v>
      </c>
    </row>
    <row r="178" customFormat="false" ht="15" hidden="false" customHeight="true" outlineLevel="0" collapsed="false">
      <c r="A178" s="31" t="n">
        <v>46200</v>
      </c>
    </row>
    <row r="179" customFormat="false" ht="15" hidden="false" customHeight="true" outlineLevel="0" collapsed="false">
      <c r="A179" s="31" t="n">
        <v>46201</v>
      </c>
    </row>
    <row r="180" customFormat="false" ht="15" hidden="false" customHeight="true" outlineLevel="0" collapsed="false">
      <c r="A180" s="31" t="n">
        <v>46202</v>
      </c>
    </row>
    <row r="181" customFormat="false" ht="15" hidden="false" customHeight="true" outlineLevel="0" collapsed="false">
      <c r="A181" s="31" t="n">
        <v>46203</v>
      </c>
    </row>
    <row r="182" customFormat="false" ht="15" hidden="false" customHeight="true" outlineLevel="0" collapsed="false">
      <c r="A182" s="31" t="n">
        <v>46204</v>
      </c>
    </row>
    <row r="183" customFormat="false" ht="15" hidden="false" customHeight="true" outlineLevel="0" collapsed="false">
      <c r="A183" s="31" t="n">
        <v>46205</v>
      </c>
    </row>
    <row r="184" customFormat="false" ht="15" hidden="false" customHeight="true" outlineLevel="0" collapsed="false">
      <c r="A184" s="31" t="n">
        <v>46206</v>
      </c>
    </row>
    <row r="185" customFormat="false" ht="15" hidden="false" customHeight="true" outlineLevel="0" collapsed="false">
      <c r="A185" s="31" t="n">
        <v>46207</v>
      </c>
    </row>
    <row r="186" customFormat="false" ht="15" hidden="false" customHeight="true" outlineLevel="0" collapsed="false">
      <c r="A186" s="31" t="n">
        <v>46208</v>
      </c>
    </row>
    <row r="187" customFormat="false" ht="15" hidden="false" customHeight="true" outlineLevel="0" collapsed="false">
      <c r="A187" s="31" t="n">
        <v>46209</v>
      </c>
    </row>
    <row r="188" customFormat="false" ht="15" hidden="false" customHeight="true" outlineLevel="0" collapsed="false">
      <c r="A188" s="31" t="n">
        <v>46210</v>
      </c>
    </row>
    <row r="189" customFormat="false" ht="15" hidden="false" customHeight="true" outlineLevel="0" collapsed="false">
      <c r="A189" s="31" t="n">
        <v>46211</v>
      </c>
    </row>
    <row r="190" customFormat="false" ht="15" hidden="false" customHeight="true" outlineLevel="0" collapsed="false">
      <c r="A190" s="31" t="n">
        <v>46212</v>
      </c>
    </row>
    <row r="191" customFormat="false" ht="15" hidden="false" customHeight="true" outlineLevel="0" collapsed="false">
      <c r="A191" s="31" t="n">
        <v>46213</v>
      </c>
    </row>
    <row r="192" customFormat="false" ht="15" hidden="false" customHeight="true" outlineLevel="0" collapsed="false">
      <c r="A192" s="31" t="n">
        <v>46214</v>
      </c>
    </row>
    <row r="193" customFormat="false" ht="15" hidden="false" customHeight="true" outlineLevel="0" collapsed="false">
      <c r="A193" s="31" t="n">
        <v>46215</v>
      </c>
    </row>
    <row r="194" customFormat="false" ht="15" hidden="false" customHeight="true" outlineLevel="0" collapsed="false">
      <c r="A194" s="31" t="n">
        <v>46216</v>
      </c>
    </row>
    <row r="195" customFormat="false" ht="15" hidden="false" customHeight="true" outlineLevel="0" collapsed="false">
      <c r="A195" s="31" t="n">
        <v>46217</v>
      </c>
    </row>
    <row r="196" customFormat="false" ht="15" hidden="false" customHeight="true" outlineLevel="0" collapsed="false">
      <c r="A196" s="31" t="n">
        <v>46218</v>
      </c>
    </row>
    <row r="197" customFormat="false" ht="15" hidden="false" customHeight="true" outlineLevel="0" collapsed="false">
      <c r="A197" s="31" t="n">
        <v>46219</v>
      </c>
    </row>
    <row r="198" customFormat="false" ht="15" hidden="false" customHeight="true" outlineLevel="0" collapsed="false">
      <c r="A198" s="31" t="n">
        <v>46220</v>
      </c>
    </row>
    <row r="199" customFormat="false" ht="15" hidden="false" customHeight="true" outlineLevel="0" collapsed="false">
      <c r="A199" s="31" t="n">
        <v>46221</v>
      </c>
    </row>
    <row r="200" customFormat="false" ht="15" hidden="false" customHeight="true" outlineLevel="0" collapsed="false">
      <c r="A200" s="31" t="n">
        <v>46222</v>
      </c>
    </row>
    <row r="201" customFormat="false" ht="15" hidden="false" customHeight="true" outlineLevel="0" collapsed="false">
      <c r="A201" s="31" t="n">
        <v>46223</v>
      </c>
    </row>
    <row r="202" customFormat="false" ht="15" hidden="false" customHeight="true" outlineLevel="0" collapsed="false">
      <c r="A202" s="31" t="n">
        <v>46224</v>
      </c>
    </row>
    <row r="203" customFormat="false" ht="15" hidden="false" customHeight="true" outlineLevel="0" collapsed="false">
      <c r="A203" s="31" t="n">
        <v>46225</v>
      </c>
    </row>
    <row r="204" customFormat="false" ht="15" hidden="false" customHeight="true" outlineLevel="0" collapsed="false">
      <c r="A204" s="31" t="n">
        <v>46226</v>
      </c>
    </row>
    <row r="205" customFormat="false" ht="15" hidden="false" customHeight="true" outlineLevel="0" collapsed="false">
      <c r="A205" s="31" t="n">
        <v>46227</v>
      </c>
    </row>
    <row r="206" customFormat="false" ht="15" hidden="false" customHeight="true" outlineLevel="0" collapsed="false">
      <c r="A206" s="31" t="n">
        <v>46228</v>
      </c>
    </row>
    <row r="207" customFormat="false" ht="15" hidden="false" customHeight="true" outlineLevel="0" collapsed="false">
      <c r="A207" s="31" t="n">
        <v>46229</v>
      </c>
    </row>
    <row r="208" customFormat="false" ht="15" hidden="false" customHeight="true" outlineLevel="0" collapsed="false">
      <c r="A208" s="31" t="n">
        <v>46230</v>
      </c>
    </row>
    <row r="209" customFormat="false" ht="15" hidden="false" customHeight="true" outlineLevel="0" collapsed="false">
      <c r="A209" s="31" t="n">
        <v>46231</v>
      </c>
    </row>
    <row r="210" customFormat="false" ht="15" hidden="false" customHeight="true" outlineLevel="0" collapsed="false">
      <c r="A210" s="31" t="n">
        <v>46232</v>
      </c>
    </row>
    <row r="211" customFormat="false" ht="15" hidden="false" customHeight="true" outlineLevel="0" collapsed="false">
      <c r="A211" s="31" t="n">
        <v>46233</v>
      </c>
    </row>
    <row r="212" customFormat="false" ht="15" hidden="false" customHeight="true" outlineLevel="0" collapsed="false">
      <c r="A212" s="31" t="n">
        <v>46234</v>
      </c>
    </row>
    <row r="213" customFormat="false" ht="15" hidden="false" customHeight="true" outlineLevel="0" collapsed="false">
      <c r="A213" s="31" t="n">
        <v>46235</v>
      </c>
    </row>
    <row r="214" customFormat="false" ht="15" hidden="false" customHeight="true" outlineLevel="0" collapsed="false">
      <c r="A214" s="31" t="n">
        <v>46236</v>
      </c>
    </row>
    <row r="215" customFormat="false" ht="15" hidden="false" customHeight="true" outlineLevel="0" collapsed="false">
      <c r="A215" s="31" t="n">
        <v>46237</v>
      </c>
    </row>
    <row r="216" customFormat="false" ht="15" hidden="false" customHeight="true" outlineLevel="0" collapsed="false">
      <c r="A216" s="31" t="n">
        <v>46238</v>
      </c>
    </row>
    <row r="217" customFormat="false" ht="15" hidden="false" customHeight="true" outlineLevel="0" collapsed="false">
      <c r="A217" s="31" t="n">
        <v>46239</v>
      </c>
    </row>
    <row r="218" customFormat="false" ht="15" hidden="false" customHeight="true" outlineLevel="0" collapsed="false">
      <c r="A218" s="31" t="n">
        <v>46240</v>
      </c>
    </row>
    <row r="219" customFormat="false" ht="15" hidden="false" customHeight="true" outlineLevel="0" collapsed="false">
      <c r="A219" s="31" t="n">
        <v>46241</v>
      </c>
    </row>
    <row r="220" customFormat="false" ht="15" hidden="false" customHeight="true" outlineLevel="0" collapsed="false">
      <c r="A220" s="31" t="n">
        <v>46242</v>
      </c>
    </row>
    <row r="221" customFormat="false" ht="15" hidden="false" customHeight="true" outlineLevel="0" collapsed="false">
      <c r="A221" s="31" t="n">
        <v>46243</v>
      </c>
    </row>
    <row r="222" customFormat="false" ht="15" hidden="false" customHeight="true" outlineLevel="0" collapsed="false">
      <c r="A222" s="31" t="n">
        <v>46244</v>
      </c>
    </row>
    <row r="223" customFormat="false" ht="15" hidden="false" customHeight="true" outlineLevel="0" collapsed="false">
      <c r="A223" s="31" t="n">
        <v>46245</v>
      </c>
    </row>
    <row r="224" customFormat="false" ht="15" hidden="false" customHeight="true" outlineLevel="0" collapsed="false">
      <c r="A224" s="31" t="n">
        <v>46246</v>
      </c>
    </row>
    <row r="225" customFormat="false" ht="15" hidden="false" customHeight="true" outlineLevel="0" collapsed="false">
      <c r="A225" s="31" t="n">
        <v>46247</v>
      </c>
    </row>
    <row r="226" customFormat="false" ht="15" hidden="false" customHeight="true" outlineLevel="0" collapsed="false">
      <c r="A226" s="31" t="n">
        <v>46248</v>
      </c>
    </row>
    <row r="227" customFormat="false" ht="15" hidden="false" customHeight="true" outlineLevel="0" collapsed="false">
      <c r="A227" s="31" t="n">
        <v>46249</v>
      </c>
    </row>
    <row r="228" customFormat="false" ht="15" hidden="false" customHeight="true" outlineLevel="0" collapsed="false">
      <c r="A228" s="31" t="n">
        <v>46250</v>
      </c>
    </row>
    <row r="229" customFormat="false" ht="15" hidden="false" customHeight="true" outlineLevel="0" collapsed="false">
      <c r="A229" s="31" t="n">
        <v>46251</v>
      </c>
    </row>
    <row r="230" customFormat="false" ht="15" hidden="false" customHeight="true" outlineLevel="0" collapsed="false">
      <c r="A230" s="31" t="n">
        <v>46252</v>
      </c>
    </row>
    <row r="231" customFormat="false" ht="15" hidden="false" customHeight="true" outlineLevel="0" collapsed="false">
      <c r="A231" s="31" t="n">
        <v>46253</v>
      </c>
    </row>
    <row r="232" customFormat="false" ht="15" hidden="false" customHeight="true" outlineLevel="0" collapsed="false">
      <c r="A232" s="31" t="n">
        <v>46254</v>
      </c>
    </row>
    <row r="233" customFormat="false" ht="15" hidden="false" customHeight="true" outlineLevel="0" collapsed="false">
      <c r="A233" s="31" t="n">
        <v>46255</v>
      </c>
    </row>
    <row r="234" customFormat="false" ht="15" hidden="false" customHeight="true" outlineLevel="0" collapsed="false">
      <c r="A234" s="31" t="n">
        <v>46256</v>
      </c>
    </row>
    <row r="235" customFormat="false" ht="15" hidden="false" customHeight="true" outlineLevel="0" collapsed="false">
      <c r="A235" s="31" t="n">
        <v>46257</v>
      </c>
    </row>
    <row r="236" customFormat="false" ht="15" hidden="false" customHeight="true" outlineLevel="0" collapsed="false">
      <c r="A236" s="31" t="n">
        <v>46258</v>
      </c>
    </row>
    <row r="237" customFormat="false" ht="15" hidden="false" customHeight="true" outlineLevel="0" collapsed="false">
      <c r="A237" s="31" t="n">
        <v>46259</v>
      </c>
    </row>
    <row r="238" customFormat="false" ht="15" hidden="false" customHeight="true" outlineLevel="0" collapsed="false">
      <c r="A238" s="31" t="n">
        <v>46260</v>
      </c>
    </row>
    <row r="239" customFormat="false" ht="15" hidden="false" customHeight="true" outlineLevel="0" collapsed="false">
      <c r="A239" s="31" t="n">
        <v>46261</v>
      </c>
    </row>
    <row r="240" customFormat="false" ht="15" hidden="false" customHeight="true" outlineLevel="0" collapsed="false">
      <c r="A240" s="31" t="n">
        <v>46262</v>
      </c>
    </row>
    <row r="241" customFormat="false" ht="15" hidden="false" customHeight="true" outlineLevel="0" collapsed="false">
      <c r="A241" s="31" t="n">
        <v>46263</v>
      </c>
    </row>
    <row r="242" customFormat="false" ht="15" hidden="false" customHeight="true" outlineLevel="0" collapsed="false">
      <c r="A242" s="31" t="n">
        <v>46264</v>
      </c>
    </row>
    <row r="243" customFormat="false" ht="15" hidden="false" customHeight="true" outlineLevel="0" collapsed="false">
      <c r="A243" s="31" t="n">
        <v>46265</v>
      </c>
    </row>
    <row r="244" customFormat="false" ht="15" hidden="false" customHeight="true" outlineLevel="0" collapsed="false">
      <c r="A244" s="31" t="n">
        <v>46266</v>
      </c>
    </row>
    <row r="245" customFormat="false" ht="15" hidden="false" customHeight="true" outlineLevel="0" collapsed="false">
      <c r="A245" s="31" t="n">
        <v>46267</v>
      </c>
    </row>
    <row r="246" customFormat="false" ht="15" hidden="false" customHeight="true" outlineLevel="0" collapsed="false">
      <c r="A246" s="31" t="n">
        <v>46268</v>
      </c>
    </row>
    <row r="247" customFormat="false" ht="15" hidden="false" customHeight="true" outlineLevel="0" collapsed="false">
      <c r="A247" s="31" t="n">
        <v>46269</v>
      </c>
    </row>
    <row r="248" customFormat="false" ht="15" hidden="false" customHeight="true" outlineLevel="0" collapsed="false">
      <c r="A248" s="31" t="n">
        <v>46270</v>
      </c>
    </row>
    <row r="249" customFormat="false" ht="15" hidden="false" customHeight="true" outlineLevel="0" collapsed="false">
      <c r="A249" s="31" t="n">
        <v>46271</v>
      </c>
    </row>
    <row r="250" customFormat="false" ht="15" hidden="false" customHeight="true" outlineLevel="0" collapsed="false">
      <c r="A250" s="31" t="n">
        <v>46272</v>
      </c>
    </row>
    <row r="251" customFormat="false" ht="15" hidden="false" customHeight="true" outlineLevel="0" collapsed="false">
      <c r="A251" s="31" t="n">
        <v>46273</v>
      </c>
    </row>
    <row r="252" customFormat="false" ht="15" hidden="false" customHeight="true" outlineLevel="0" collapsed="false">
      <c r="A252" s="31" t="n">
        <v>46274</v>
      </c>
    </row>
    <row r="253" customFormat="false" ht="15" hidden="false" customHeight="true" outlineLevel="0" collapsed="false">
      <c r="A253" s="31" t="n">
        <v>46275</v>
      </c>
    </row>
    <row r="254" customFormat="false" ht="15" hidden="false" customHeight="true" outlineLevel="0" collapsed="false">
      <c r="A254" s="31" t="n">
        <v>46276</v>
      </c>
    </row>
    <row r="255" customFormat="false" ht="15" hidden="false" customHeight="true" outlineLevel="0" collapsed="false">
      <c r="A255" s="31" t="n">
        <v>46277</v>
      </c>
    </row>
    <row r="256" customFormat="false" ht="15" hidden="false" customHeight="true" outlineLevel="0" collapsed="false">
      <c r="A256" s="31" t="n">
        <v>46278</v>
      </c>
    </row>
    <row r="257" customFormat="false" ht="15" hidden="false" customHeight="true" outlineLevel="0" collapsed="false">
      <c r="A257" s="31" t="n">
        <v>46279</v>
      </c>
    </row>
    <row r="258" customFormat="false" ht="15" hidden="false" customHeight="true" outlineLevel="0" collapsed="false">
      <c r="A258" s="31" t="n">
        <v>46280</v>
      </c>
    </row>
    <row r="259" customFormat="false" ht="15" hidden="false" customHeight="true" outlineLevel="0" collapsed="false">
      <c r="A259" s="31" t="n">
        <v>46281</v>
      </c>
    </row>
    <row r="260" customFormat="false" ht="15" hidden="false" customHeight="true" outlineLevel="0" collapsed="false">
      <c r="A260" s="31" t="n">
        <v>46282</v>
      </c>
    </row>
    <row r="261" customFormat="false" ht="15" hidden="false" customHeight="true" outlineLevel="0" collapsed="false">
      <c r="A261" s="31" t="n">
        <v>46283</v>
      </c>
    </row>
    <row r="262" customFormat="false" ht="15" hidden="false" customHeight="true" outlineLevel="0" collapsed="false">
      <c r="A262" s="31" t="n">
        <v>46284</v>
      </c>
    </row>
    <row r="263" customFormat="false" ht="15" hidden="false" customHeight="true" outlineLevel="0" collapsed="false">
      <c r="A263" s="31" t="n">
        <v>46285</v>
      </c>
    </row>
    <row r="264" customFormat="false" ht="15" hidden="false" customHeight="true" outlineLevel="0" collapsed="false">
      <c r="A264" s="31" t="n">
        <v>46286</v>
      </c>
    </row>
    <row r="265" customFormat="false" ht="15" hidden="false" customHeight="true" outlineLevel="0" collapsed="false">
      <c r="A265" s="31" t="n">
        <v>46287</v>
      </c>
    </row>
    <row r="266" customFormat="false" ht="15" hidden="false" customHeight="true" outlineLevel="0" collapsed="false">
      <c r="A266" s="31" t="n">
        <v>46288</v>
      </c>
    </row>
    <row r="267" customFormat="false" ht="15" hidden="false" customHeight="true" outlineLevel="0" collapsed="false">
      <c r="A267" s="31" t="n">
        <v>46289</v>
      </c>
    </row>
    <row r="268" customFormat="false" ht="15" hidden="false" customHeight="true" outlineLevel="0" collapsed="false">
      <c r="A268" s="31" t="n">
        <v>46290</v>
      </c>
    </row>
    <row r="269" customFormat="false" ht="15" hidden="false" customHeight="true" outlineLevel="0" collapsed="false">
      <c r="A269" s="31" t="n">
        <v>46291</v>
      </c>
    </row>
    <row r="270" customFormat="false" ht="15" hidden="false" customHeight="true" outlineLevel="0" collapsed="false">
      <c r="A270" s="31" t="n">
        <v>46292</v>
      </c>
    </row>
    <row r="271" customFormat="false" ht="15" hidden="false" customHeight="true" outlineLevel="0" collapsed="false">
      <c r="A271" s="31" t="n">
        <v>46293</v>
      </c>
    </row>
    <row r="272" customFormat="false" ht="15" hidden="false" customHeight="true" outlineLevel="0" collapsed="false">
      <c r="A272" s="31" t="n">
        <v>46294</v>
      </c>
    </row>
    <row r="273" customFormat="false" ht="15" hidden="false" customHeight="true" outlineLevel="0" collapsed="false">
      <c r="A273" s="31" t="n">
        <v>46295</v>
      </c>
    </row>
    <row r="274" customFormat="false" ht="15" hidden="false" customHeight="true" outlineLevel="0" collapsed="false">
      <c r="A274" s="31" t="n">
        <v>46296</v>
      </c>
    </row>
    <row r="275" customFormat="false" ht="15" hidden="false" customHeight="true" outlineLevel="0" collapsed="false">
      <c r="A275" s="31" t="n">
        <v>46297</v>
      </c>
    </row>
    <row r="276" customFormat="false" ht="15" hidden="false" customHeight="true" outlineLevel="0" collapsed="false">
      <c r="A276" s="31" t="n">
        <v>46298</v>
      </c>
    </row>
    <row r="277" customFormat="false" ht="15" hidden="false" customHeight="true" outlineLevel="0" collapsed="false">
      <c r="A277" s="31" t="n">
        <v>46299</v>
      </c>
    </row>
    <row r="278" customFormat="false" ht="15" hidden="false" customHeight="true" outlineLevel="0" collapsed="false">
      <c r="A278" s="31" t="n">
        <v>46300</v>
      </c>
    </row>
    <row r="279" customFormat="false" ht="15" hidden="false" customHeight="true" outlineLevel="0" collapsed="false">
      <c r="A279" s="31" t="n">
        <v>46301</v>
      </c>
    </row>
    <row r="280" customFormat="false" ht="15" hidden="false" customHeight="true" outlineLevel="0" collapsed="false">
      <c r="A280" s="31" t="n">
        <v>46302</v>
      </c>
    </row>
    <row r="281" customFormat="false" ht="15" hidden="false" customHeight="true" outlineLevel="0" collapsed="false">
      <c r="A281" s="31" t="n">
        <v>46303</v>
      </c>
    </row>
    <row r="282" customFormat="false" ht="15" hidden="false" customHeight="true" outlineLevel="0" collapsed="false">
      <c r="A282" s="31" t="n">
        <v>46304</v>
      </c>
    </row>
    <row r="283" customFormat="false" ht="15" hidden="false" customHeight="true" outlineLevel="0" collapsed="false">
      <c r="A283" s="31" t="n">
        <v>46305</v>
      </c>
    </row>
    <row r="284" customFormat="false" ht="15" hidden="false" customHeight="true" outlineLevel="0" collapsed="false">
      <c r="A284" s="31" t="n">
        <v>46306</v>
      </c>
    </row>
    <row r="285" customFormat="false" ht="15" hidden="false" customHeight="true" outlineLevel="0" collapsed="false">
      <c r="A285" s="31" t="n">
        <v>46307</v>
      </c>
    </row>
    <row r="286" customFormat="false" ht="15" hidden="false" customHeight="true" outlineLevel="0" collapsed="false">
      <c r="A286" s="31" t="n">
        <v>46308</v>
      </c>
    </row>
    <row r="287" customFormat="false" ht="15" hidden="false" customHeight="true" outlineLevel="0" collapsed="false">
      <c r="A287" s="31" t="n">
        <v>46309</v>
      </c>
    </row>
    <row r="288" customFormat="false" ht="15" hidden="false" customHeight="true" outlineLevel="0" collapsed="false">
      <c r="A288" s="31" t="n">
        <v>46310</v>
      </c>
    </row>
    <row r="289" customFormat="false" ht="15" hidden="false" customHeight="true" outlineLevel="0" collapsed="false">
      <c r="A289" s="31" t="n">
        <v>46311</v>
      </c>
    </row>
    <row r="290" customFormat="false" ht="15" hidden="false" customHeight="true" outlineLevel="0" collapsed="false">
      <c r="A290" s="31" t="n">
        <v>46312</v>
      </c>
    </row>
    <row r="291" customFormat="false" ht="15" hidden="false" customHeight="true" outlineLevel="0" collapsed="false">
      <c r="A291" s="31" t="n">
        <v>46313</v>
      </c>
    </row>
    <row r="292" customFormat="false" ht="15" hidden="false" customHeight="true" outlineLevel="0" collapsed="false">
      <c r="A292" s="31" t="n">
        <v>46314</v>
      </c>
    </row>
    <row r="293" customFormat="false" ht="15" hidden="false" customHeight="true" outlineLevel="0" collapsed="false">
      <c r="A293" s="31" t="n">
        <v>46315</v>
      </c>
    </row>
    <row r="294" customFormat="false" ht="15" hidden="false" customHeight="true" outlineLevel="0" collapsed="false">
      <c r="A294" s="31" t="n">
        <v>46316</v>
      </c>
    </row>
    <row r="295" customFormat="false" ht="15" hidden="false" customHeight="true" outlineLevel="0" collapsed="false">
      <c r="A295" s="31" t="n">
        <v>46317</v>
      </c>
    </row>
    <row r="296" customFormat="false" ht="15" hidden="false" customHeight="true" outlineLevel="0" collapsed="false">
      <c r="A296" s="31" t="n">
        <v>46318</v>
      </c>
    </row>
    <row r="297" customFormat="false" ht="15" hidden="false" customHeight="true" outlineLevel="0" collapsed="false">
      <c r="A297" s="31" t="n">
        <v>46319</v>
      </c>
    </row>
    <row r="298" customFormat="false" ht="15" hidden="false" customHeight="true" outlineLevel="0" collapsed="false">
      <c r="A298" s="31" t="n">
        <v>46320</v>
      </c>
    </row>
    <row r="299" customFormat="false" ht="15" hidden="false" customHeight="true" outlineLevel="0" collapsed="false">
      <c r="A299" s="31" t="n">
        <v>46321</v>
      </c>
    </row>
    <row r="300" customFormat="false" ht="15" hidden="false" customHeight="true" outlineLevel="0" collapsed="false">
      <c r="A300" s="31" t="n">
        <v>46322</v>
      </c>
    </row>
    <row r="301" customFormat="false" ht="15" hidden="false" customHeight="true" outlineLevel="0" collapsed="false">
      <c r="A301" s="31" t="n">
        <v>46323</v>
      </c>
    </row>
    <row r="302" customFormat="false" ht="15" hidden="false" customHeight="true" outlineLevel="0" collapsed="false">
      <c r="A302" s="31" t="n">
        <v>46324</v>
      </c>
    </row>
    <row r="303" customFormat="false" ht="15" hidden="false" customHeight="true" outlineLevel="0" collapsed="false">
      <c r="A303" s="31" t="n">
        <v>46325</v>
      </c>
    </row>
    <row r="304" customFormat="false" ht="15" hidden="false" customHeight="true" outlineLevel="0" collapsed="false">
      <c r="A304" s="31" t="n">
        <v>46326</v>
      </c>
    </row>
    <row r="305" customFormat="false" ht="15" hidden="false" customHeight="true" outlineLevel="0" collapsed="false">
      <c r="A305" s="31" t="n">
        <v>46327</v>
      </c>
    </row>
    <row r="306" customFormat="false" ht="15" hidden="false" customHeight="true" outlineLevel="0" collapsed="false">
      <c r="A306" s="31" t="n">
        <v>46328</v>
      </c>
    </row>
    <row r="307" customFormat="false" ht="15" hidden="false" customHeight="true" outlineLevel="0" collapsed="false">
      <c r="A307" s="31" t="n">
        <v>46329</v>
      </c>
    </row>
    <row r="308" customFormat="false" ht="15" hidden="false" customHeight="true" outlineLevel="0" collapsed="false">
      <c r="A308" s="31" t="n">
        <v>46330</v>
      </c>
    </row>
    <row r="309" customFormat="false" ht="15" hidden="false" customHeight="true" outlineLevel="0" collapsed="false">
      <c r="A309" s="31" t="n">
        <v>46331</v>
      </c>
    </row>
    <row r="310" customFormat="false" ht="15" hidden="false" customHeight="true" outlineLevel="0" collapsed="false">
      <c r="A310" s="31" t="n">
        <v>46332</v>
      </c>
    </row>
    <row r="311" customFormat="false" ht="15" hidden="false" customHeight="true" outlineLevel="0" collapsed="false">
      <c r="A311" s="31" t="n">
        <v>46333</v>
      </c>
    </row>
    <row r="312" customFormat="false" ht="15" hidden="false" customHeight="true" outlineLevel="0" collapsed="false">
      <c r="A312" s="31" t="n">
        <v>46334</v>
      </c>
    </row>
    <row r="313" customFormat="false" ht="15" hidden="false" customHeight="true" outlineLevel="0" collapsed="false">
      <c r="A313" s="31" t="n">
        <v>46335</v>
      </c>
    </row>
    <row r="314" customFormat="false" ht="15" hidden="false" customHeight="true" outlineLevel="0" collapsed="false">
      <c r="A314" s="31" t="n">
        <v>46336</v>
      </c>
    </row>
    <row r="315" customFormat="false" ht="15" hidden="false" customHeight="true" outlineLevel="0" collapsed="false">
      <c r="A315" s="31" t="n">
        <v>46337</v>
      </c>
    </row>
    <row r="316" customFormat="false" ht="15" hidden="false" customHeight="true" outlineLevel="0" collapsed="false">
      <c r="A316" s="31" t="n">
        <v>46338</v>
      </c>
    </row>
    <row r="317" customFormat="false" ht="15" hidden="false" customHeight="true" outlineLevel="0" collapsed="false">
      <c r="A317" s="31" t="n">
        <v>46339</v>
      </c>
    </row>
    <row r="318" customFormat="false" ht="15" hidden="false" customHeight="true" outlineLevel="0" collapsed="false">
      <c r="A318" s="31" t="n">
        <v>46340</v>
      </c>
    </row>
    <row r="319" customFormat="false" ht="15" hidden="false" customHeight="true" outlineLevel="0" collapsed="false">
      <c r="A319" s="31" t="n">
        <v>46341</v>
      </c>
    </row>
    <row r="320" customFormat="false" ht="15" hidden="false" customHeight="true" outlineLevel="0" collapsed="false">
      <c r="A320" s="31" t="n">
        <v>46342</v>
      </c>
    </row>
    <row r="321" customFormat="false" ht="15" hidden="false" customHeight="true" outlineLevel="0" collapsed="false">
      <c r="A321" s="31" t="n">
        <v>46343</v>
      </c>
    </row>
    <row r="322" customFormat="false" ht="15" hidden="false" customHeight="true" outlineLevel="0" collapsed="false">
      <c r="A322" s="31" t="n">
        <v>46344</v>
      </c>
    </row>
    <row r="323" customFormat="false" ht="15" hidden="false" customHeight="true" outlineLevel="0" collapsed="false">
      <c r="A323" s="31" t="n">
        <v>46345</v>
      </c>
    </row>
    <row r="324" customFormat="false" ht="15" hidden="false" customHeight="true" outlineLevel="0" collapsed="false">
      <c r="A324" s="31" t="n">
        <v>46346</v>
      </c>
    </row>
    <row r="325" customFormat="false" ht="15" hidden="false" customHeight="true" outlineLevel="0" collapsed="false">
      <c r="A325" s="31" t="n">
        <v>46347</v>
      </c>
    </row>
    <row r="326" customFormat="false" ht="15" hidden="false" customHeight="true" outlineLevel="0" collapsed="false">
      <c r="A326" s="31" t="n">
        <v>46348</v>
      </c>
    </row>
    <row r="327" customFormat="false" ht="15" hidden="false" customHeight="true" outlineLevel="0" collapsed="false">
      <c r="A327" s="31" t="n">
        <v>46349</v>
      </c>
    </row>
    <row r="328" customFormat="false" ht="15" hidden="false" customHeight="true" outlineLevel="0" collapsed="false">
      <c r="A328" s="31" t="n">
        <v>46350</v>
      </c>
    </row>
    <row r="329" customFormat="false" ht="15" hidden="false" customHeight="true" outlineLevel="0" collapsed="false">
      <c r="A329" s="31" t="n">
        <v>46351</v>
      </c>
    </row>
    <row r="330" customFormat="false" ht="15" hidden="false" customHeight="true" outlineLevel="0" collapsed="false">
      <c r="A330" s="31" t="n">
        <v>46352</v>
      </c>
    </row>
    <row r="331" customFormat="false" ht="15" hidden="false" customHeight="true" outlineLevel="0" collapsed="false">
      <c r="A331" s="31" t="n">
        <v>46353</v>
      </c>
    </row>
    <row r="332" customFormat="false" ht="15" hidden="false" customHeight="true" outlineLevel="0" collapsed="false">
      <c r="A332" s="31" t="n">
        <v>46354</v>
      </c>
    </row>
    <row r="333" customFormat="false" ht="15" hidden="false" customHeight="true" outlineLevel="0" collapsed="false">
      <c r="A333" s="31" t="n">
        <v>46355</v>
      </c>
    </row>
    <row r="334" customFormat="false" ht="15" hidden="false" customHeight="true" outlineLevel="0" collapsed="false">
      <c r="A334" s="31" t="n">
        <v>46356</v>
      </c>
    </row>
    <row r="335" customFormat="false" ht="15" hidden="false" customHeight="true" outlineLevel="0" collapsed="false">
      <c r="A335" s="31" t="n">
        <v>46357</v>
      </c>
    </row>
    <row r="336" customFormat="false" ht="15" hidden="false" customHeight="true" outlineLevel="0" collapsed="false">
      <c r="A336" s="31" t="n">
        <v>46358</v>
      </c>
    </row>
    <row r="337" customFormat="false" ht="15" hidden="false" customHeight="true" outlineLevel="0" collapsed="false">
      <c r="A337" s="31" t="n">
        <v>46359</v>
      </c>
    </row>
    <row r="338" customFormat="false" ht="15" hidden="false" customHeight="true" outlineLevel="0" collapsed="false">
      <c r="A338" s="31" t="n">
        <v>46360</v>
      </c>
    </row>
    <row r="339" customFormat="false" ht="15" hidden="false" customHeight="true" outlineLevel="0" collapsed="false">
      <c r="A339" s="31" t="n">
        <v>46361</v>
      </c>
    </row>
    <row r="340" customFormat="false" ht="15" hidden="false" customHeight="true" outlineLevel="0" collapsed="false">
      <c r="A340" s="31" t="n">
        <v>46362</v>
      </c>
    </row>
    <row r="341" customFormat="false" ht="15" hidden="false" customHeight="true" outlineLevel="0" collapsed="false">
      <c r="A341" s="31" t="n">
        <v>46363</v>
      </c>
    </row>
    <row r="342" customFormat="false" ht="15" hidden="false" customHeight="true" outlineLevel="0" collapsed="false">
      <c r="A342" s="31" t="n">
        <v>46364</v>
      </c>
    </row>
    <row r="343" customFormat="false" ht="15" hidden="false" customHeight="true" outlineLevel="0" collapsed="false">
      <c r="A343" s="31" t="n">
        <v>46365</v>
      </c>
    </row>
    <row r="344" customFormat="false" ht="15" hidden="false" customHeight="true" outlineLevel="0" collapsed="false">
      <c r="A344" s="31" t="n">
        <v>46366</v>
      </c>
    </row>
    <row r="345" customFormat="false" ht="15" hidden="false" customHeight="true" outlineLevel="0" collapsed="false">
      <c r="A345" s="31" t="n">
        <v>46367</v>
      </c>
    </row>
    <row r="346" customFormat="false" ht="15" hidden="false" customHeight="true" outlineLevel="0" collapsed="false">
      <c r="A346" s="31" t="n">
        <v>46368</v>
      </c>
    </row>
    <row r="347" customFormat="false" ht="15" hidden="false" customHeight="true" outlineLevel="0" collapsed="false">
      <c r="A347" s="31" t="n">
        <v>46369</v>
      </c>
    </row>
    <row r="348" customFormat="false" ht="15" hidden="false" customHeight="true" outlineLevel="0" collapsed="false">
      <c r="A348" s="31" t="n">
        <v>46370</v>
      </c>
    </row>
    <row r="349" customFormat="false" ht="15" hidden="false" customHeight="true" outlineLevel="0" collapsed="false">
      <c r="A349" s="31" t="n">
        <v>46371</v>
      </c>
    </row>
    <row r="350" customFormat="false" ht="15" hidden="false" customHeight="true" outlineLevel="0" collapsed="false">
      <c r="A350" s="31" t="n">
        <v>46372</v>
      </c>
    </row>
    <row r="351" customFormat="false" ht="15" hidden="false" customHeight="true" outlineLevel="0" collapsed="false">
      <c r="A351" s="31" t="n">
        <v>46373</v>
      </c>
    </row>
    <row r="352" customFormat="false" ht="15" hidden="false" customHeight="true" outlineLevel="0" collapsed="false">
      <c r="A352" s="31" t="n">
        <v>46374</v>
      </c>
    </row>
    <row r="353" customFormat="false" ht="15" hidden="false" customHeight="true" outlineLevel="0" collapsed="false">
      <c r="A353" s="31" t="n">
        <v>46375</v>
      </c>
    </row>
    <row r="354" customFormat="false" ht="15" hidden="false" customHeight="true" outlineLevel="0" collapsed="false">
      <c r="A354" s="31" t="n">
        <v>46376</v>
      </c>
    </row>
    <row r="355" customFormat="false" ht="15" hidden="false" customHeight="true" outlineLevel="0" collapsed="false">
      <c r="A355" s="31" t="n">
        <v>46377</v>
      </c>
    </row>
    <row r="356" customFormat="false" ht="15" hidden="false" customHeight="true" outlineLevel="0" collapsed="false">
      <c r="A356" s="31" t="n">
        <v>46378</v>
      </c>
    </row>
    <row r="357" customFormat="false" ht="15" hidden="false" customHeight="true" outlineLevel="0" collapsed="false">
      <c r="A357" s="31" t="n">
        <v>46379</v>
      </c>
    </row>
    <row r="358" customFormat="false" ht="15" hidden="false" customHeight="true" outlineLevel="0" collapsed="false">
      <c r="A358" s="31" t="n">
        <v>46380</v>
      </c>
    </row>
    <row r="359" customFormat="false" ht="15" hidden="false" customHeight="true" outlineLevel="0" collapsed="false">
      <c r="A359" s="31" t="n">
        <v>46381</v>
      </c>
    </row>
    <row r="360" customFormat="false" ht="15" hidden="false" customHeight="true" outlineLevel="0" collapsed="false">
      <c r="A360" s="31" t="n">
        <v>46382</v>
      </c>
    </row>
    <row r="361" customFormat="false" ht="15" hidden="false" customHeight="true" outlineLevel="0" collapsed="false">
      <c r="A361" s="31" t="n">
        <v>46383</v>
      </c>
    </row>
    <row r="362" customFormat="false" ht="15" hidden="false" customHeight="true" outlineLevel="0" collapsed="false">
      <c r="A362" s="31" t="n">
        <v>46384</v>
      </c>
    </row>
    <row r="363" customFormat="false" ht="15" hidden="false" customHeight="true" outlineLevel="0" collapsed="false">
      <c r="A363" s="31" t="n">
        <v>46385</v>
      </c>
    </row>
    <row r="364" customFormat="false" ht="15" hidden="false" customHeight="true" outlineLevel="0" collapsed="false">
      <c r="A364" s="31" t="n">
        <v>46386</v>
      </c>
    </row>
    <row r="365" customFormat="false" ht="15" hidden="false" customHeight="true" outlineLevel="0" collapsed="false">
      <c r="A365" s="31" t="n">
        <v>46387</v>
      </c>
    </row>
    <row r="366" customFormat="false" ht="15" hidden="false" customHeight="true" outlineLevel="0" collapsed="false">
      <c r="A366" s="31" t="n">
        <v>46388</v>
      </c>
    </row>
    <row r="367" customFormat="false" ht="15" hidden="false" customHeight="true" outlineLevel="0" collapsed="false">
      <c r="A367" s="31" t="n">
        <v>46389</v>
      </c>
    </row>
    <row r="368" customFormat="false" ht="15" hidden="false" customHeight="true" outlineLevel="0" collapsed="false">
      <c r="A368" s="31" t="n">
        <v>46390</v>
      </c>
    </row>
    <row r="369" customFormat="false" ht="15" hidden="false" customHeight="true" outlineLevel="0" collapsed="false">
      <c r="A369" s="31" t="n">
        <v>46391</v>
      </c>
    </row>
    <row r="370" customFormat="false" ht="15" hidden="false" customHeight="true" outlineLevel="0" collapsed="false">
      <c r="A370" s="31" t="n">
        <v>46392</v>
      </c>
    </row>
    <row r="371" customFormat="false" ht="15" hidden="false" customHeight="true" outlineLevel="0" collapsed="false">
      <c r="A371" s="31" t="n">
        <v>46393</v>
      </c>
    </row>
    <row r="372" customFormat="false" ht="15" hidden="false" customHeight="true" outlineLevel="0" collapsed="false">
      <c r="A372" s="31" t="n">
        <v>46394</v>
      </c>
    </row>
    <row r="373" customFormat="false" ht="15" hidden="false" customHeight="true" outlineLevel="0" collapsed="false">
      <c r="A373" s="31" t="n">
        <v>46395</v>
      </c>
    </row>
    <row r="374" customFormat="false" ht="15" hidden="false" customHeight="true" outlineLevel="0" collapsed="false">
      <c r="A374" s="31" t="n">
        <v>46396</v>
      </c>
    </row>
    <row r="375" customFormat="false" ht="15" hidden="false" customHeight="true" outlineLevel="0" collapsed="false">
      <c r="A375" s="31" t="n">
        <v>46397</v>
      </c>
    </row>
    <row r="376" customFormat="false" ht="15" hidden="false" customHeight="true" outlineLevel="0" collapsed="false">
      <c r="A376" s="31" t="n">
        <v>46398</v>
      </c>
    </row>
    <row r="377" customFormat="false" ht="15" hidden="false" customHeight="true" outlineLevel="0" collapsed="false">
      <c r="A377" s="31" t="n">
        <v>46399</v>
      </c>
    </row>
    <row r="378" customFormat="false" ht="15" hidden="false" customHeight="true" outlineLevel="0" collapsed="false">
      <c r="A378" s="31" t="n">
        <v>46400</v>
      </c>
    </row>
    <row r="379" customFormat="false" ht="15" hidden="false" customHeight="true" outlineLevel="0" collapsed="false">
      <c r="A379" s="31" t="n">
        <v>46401</v>
      </c>
    </row>
    <row r="380" customFormat="false" ht="15" hidden="false" customHeight="true" outlineLevel="0" collapsed="false">
      <c r="A380" s="31" t="n">
        <v>46402</v>
      </c>
    </row>
    <row r="381" customFormat="false" ht="15" hidden="false" customHeight="true" outlineLevel="0" collapsed="false">
      <c r="A381" s="31" t="n">
        <v>46403</v>
      </c>
    </row>
    <row r="382" customFormat="false" ht="15" hidden="false" customHeight="true" outlineLevel="0" collapsed="false">
      <c r="A382" s="31" t="n">
        <v>46404</v>
      </c>
    </row>
    <row r="383" customFormat="false" ht="15" hidden="false" customHeight="true" outlineLevel="0" collapsed="false">
      <c r="A383" s="31" t="n">
        <v>46405</v>
      </c>
    </row>
    <row r="384" customFormat="false" ht="15" hidden="false" customHeight="true" outlineLevel="0" collapsed="false">
      <c r="A384" s="31" t="n">
        <v>46406</v>
      </c>
    </row>
    <row r="385" customFormat="false" ht="15" hidden="false" customHeight="true" outlineLevel="0" collapsed="false">
      <c r="A385" s="31" t="n">
        <v>46407</v>
      </c>
    </row>
    <row r="386" customFormat="false" ht="15" hidden="false" customHeight="true" outlineLevel="0" collapsed="false">
      <c r="A386" s="31" t="n">
        <v>46408</v>
      </c>
    </row>
    <row r="387" customFormat="false" ht="15" hidden="false" customHeight="true" outlineLevel="0" collapsed="false">
      <c r="A387" s="31" t="n">
        <v>46409</v>
      </c>
    </row>
    <row r="388" customFormat="false" ht="15" hidden="false" customHeight="true" outlineLevel="0" collapsed="false">
      <c r="A388" s="31" t="n">
        <v>46410</v>
      </c>
    </row>
    <row r="389" customFormat="false" ht="15" hidden="false" customHeight="true" outlineLevel="0" collapsed="false">
      <c r="A389" s="31" t="n">
        <v>46411</v>
      </c>
    </row>
    <row r="390" customFormat="false" ht="15" hidden="false" customHeight="true" outlineLevel="0" collapsed="false">
      <c r="A390" s="31" t="n">
        <v>46412</v>
      </c>
    </row>
    <row r="391" customFormat="false" ht="15" hidden="false" customHeight="true" outlineLevel="0" collapsed="false">
      <c r="A391" s="31" t="n">
        <v>46413</v>
      </c>
    </row>
    <row r="392" customFormat="false" ht="15" hidden="false" customHeight="true" outlineLevel="0" collapsed="false">
      <c r="A392" s="31" t="n">
        <v>46414</v>
      </c>
    </row>
    <row r="393" customFormat="false" ht="15" hidden="false" customHeight="true" outlineLevel="0" collapsed="false">
      <c r="A393" s="31" t="n">
        <v>46415</v>
      </c>
    </row>
    <row r="394" customFormat="false" ht="15" hidden="false" customHeight="true" outlineLevel="0" collapsed="false">
      <c r="A394" s="31" t="n">
        <v>46416</v>
      </c>
    </row>
    <row r="395" customFormat="false" ht="15" hidden="false" customHeight="true" outlineLevel="0" collapsed="false">
      <c r="A395" s="31" t="n">
        <v>46417</v>
      </c>
    </row>
    <row r="396" customFormat="false" ht="15" hidden="false" customHeight="true" outlineLevel="0" collapsed="false">
      <c r="A396" s="31" t="n">
        <v>46418</v>
      </c>
    </row>
    <row r="397" customFormat="false" ht="15" hidden="false" customHeight="true" outlineLevel="0" collapsed="false">
      <c r="A397" s="31" t="n">
        <v>46419</v>
      </c>
    </row>
    <row r="398" customFormat="false" ht="15" hidden="false" customHeight="true" outlineLevel="0" collapsed="false">
      <c r="A398" s="31" t="n">
        <v>46420</v>
      </c>
    </row>
    <row r="399" customFormat="false" ht="15" hidden="false" customHeight="true" outlineLevel="0" collapsed="false">
      <c r="A399" s="31" t="n">
        <v>46421</v>
      </c>
    </row>
    <row r="400" customFormat="false" ht="15" hidden="false" customHeight="true" outlineLevel="0" collapsed="false">
      <c r="A400" s="31" t="n">
        <v>46422</v>
      </c>
    </row>
    <row r="401" customFormat="false" ht="15" hidden="false" customHeight="true" outlineLevel="0" collapsed="false">
      <c r="A401" s="31" t="n">
        <v>46423</v>
      </c>
    </row>
    <row r="402" customFormat="false" ht="15" hidden="false" customHeight="true" outlineLevel="0" collapsed="false">
      <c r="A402" s="31" t="n">
        <v>46424</v>
      </c>
    </row>
    <row r="403" customFormat="false" ht="15" hidden="false" customHeight="true" outlineLevel="0" collapsed="false">
      <c r="A403" s="31" t="n">
        <v>46425</v>
      </c>
    </row>
    <row r="404" customFormat="false" ht="15" hidden="false" customHeight="true" outlineLevel="0" collapsed="false">
      <c r="A404" s="31" t="n">
        <v>46426</v>
      </c>
    </row>
    <row r="405" customFormat="false" ht="15" hidden="false" customHeight="true" outlineLevel="0" collapsed="false">
      <c r="A405" s="31" t="n">
        <v>46427</v>
      </c>
    </row>
    <row r="406" customFormat="false" ht="15" hidden="false" customHeight="true" outlineLevel="0" collapsed="false">
      <c r="A406" s="31" t="n">
        <v>46428</v>
      </c>
    </row>
    <row r="407" customFormat="false" ht="15" hidden="false" customHeight="true" outlineLevel="0" collapsed="false">
      <c r="A407" s="31" t="n">
        <v>46429</v>
      </c>
    </row>
    <row r="408" customFormat="false" ht="15" hidden="false" customHeight="true" outlineLevel="0" collapsed="false">
      <c r="A408" s="31" t="n">
        <v>46430</v>
      </c>
    </row>
    <row r="409" customFormat="false" ht="15" hidden="false" customHeight="true" outlineLevel="0" collapsed="false">
      <c r="A409" s="31" t="n">
        <v>46431</v>
      </c>
    </row>
    <row r="410" customFormat="false" ht="15" hidden="false" customHeight="true" outlineLevel="0" collapsed="false">
      <c r="A410" s="31" t="n">
        <v>46432</v>
      </c>
    </row>
    <row r="411" customFormat="false" ht="15" hidden="false" customHeight="true" outlineLevel="0" collapsed="false">
      <c r="A411" s="31" t="n">
        <v>46433</v>
      </c>
    </row>
    <row r="412" customFormat="false" ht="15" hidden="false" customHeight="true" outlineLevel="0" collapsed="false">
      <c r="A412" s="31" t="n">
        <v>46434</v>
      </c>
    </row>
    <row r="413" customFormat="false" ht="15" hidden="false" customHeight="true" outlineLevel="0" collapsed="false">
      <c r="A413" s="31" t="n">
        <v>46435</v>
      </c>
    </row>
    <row r="414" customFormat="false" ht="15" hidden="false" customHeight="true" outlineLevel="0" collapsed="false">
      <c r="A414" s="31" t="n">
        <v>46436</v>
      </c>
    </row>
    <row r="415" customFormat="false" ht="15" hidden="false" customHeight="true" outlineLevel="0" collapsed="false">
      <c r="A415" s="31" t="n">
        <v>46437</v>
      </c>
    </row>
    <row r="416" customFormat="false" ht="15" hidden="false" customHeight="true" outlineLevel="0" collapsed="false">
      <c r="A416" s="31" t="n">
        <v>46438</v>
      </c>
    </row>
    <row r="417" customFormat="false" ht="15" hidden="false" customHeight="true" outlineLevel="0" collapsed="false">
      <c r="A417" s="31" t="n">
        <v>46439</v>
      </c>
    </row>
    <row r="418" customFormat="false" ht="15" hidden="false" customHeight="true" outlineLevel="0" collapsed="false">
      <c r="A418" s="31" t="n">
        <v>46440</v>
      </c>
    </row>
    <row r="419" customFormat="false" ht="15" hidden="false" customHeight="true" outlineLevel="0" collapsed="false">
      <c r="A419" s="31" t="n">
        <v>46441</v>
      </c>
    </row>
    <row r="420" customFormat="false" ht="15" hidden="false" customHeight="true" outlineLevel="0" collapsed="false">
      <c r="A420" s="31" t="n">
        <v>46442</v>
      </c>
    </row>
    <row r="421" customFormat="false" ht="15" hidden="false" customHeight="true" outlineLevel="0" collapsed="false">
      <c r="A421" s="31" t="n">
        <v>46443</v>
      </c>
    </row>
    <row r="422" customFormat="false" ht="15" hidden="false" customHeight="true" outlineLevel="0" collapsed="false">
      <c r="A422" s="31" t="n">
        <v>46444</v>
      </c>
    </row>
    <row r="423" customFormat="false" ht="15" hidden="false" customHeight="true" outlineLevel="0" collapsed="false">
      <c r="A423" s="31" t="n">
        <v>46445</v>
      </c>
    </row>
    <row r="424" customFormat="false" ht="15" hidden="false" customHeight="true" outlineLevel="0" collapsed="false">
      <c r="A424" s="31" t="n">
        <v>46446</v>
      </c>
    </row>
    <row r="425" customFormat="false" ht="15" hidden="false" customHeight="true" outlineLevel="0" collapsed="false">
      <c r="A425" s="31" t="n">
        <v>46447</v>
      </c>
    </row>
    <row r="426" customFormat="false" ht="15" hidden="false" customHeight="true" outlineLevel="0" collapsed="false">
      <c r="A426" s="31" t="n">
        <v>46448</v>
      </c>
    </row>
    <row r="427" customFormat="false" ht="15" hidden="false" customHeight="true" outlineLevel="0" collapsed="false">
      <c r="A427" s="31" t="n">
        <v>46449</v>
      </c>
    </row>
    <row r="428" customFormat="false" ht="15" hidden="false" customHeight="true" outlineLevel="0" collapsed="false">
      <c r="A428" s="31" t="n">
        <v>46450</v>
      </c>
    </row>
    <row r="429" customFormat="false" ht="15" hidden="false" customHeight="true" outlineLevel="0" collapsed="false">
      <c r="A429" s="31" t="n">
        <v>46451</v>
      </c>
    </row>
    <row r="430" customFormat="false" ht="15" hidden="false" customHeight="true" outlineLevel="0" collapsed="false">
      <c r="A430" s="31" t="n">
        <v>46452</v>
      </c>
    </row>
    <row r="431" customFormat="false" ht="15" hidden="false" customHeight="true" outlineLevel="0" collapsed="false">
      <c r="A431" s="31" t="n">
        <v>46453</v>
      </c>
    </row>
    <row r="432" customFormat="false" ht="15" hidden="false" customHeight="true" outlineLevel="0" collapsed="false">
      <c r="A432" s="31" t="n">
        <v>46454</v>
      </c>
    </row>
    <row r="433" customFormat="false" ht="15" hidden="false" customHeight="true" outlineLevel="0" collapsed="false">
      <c r="A433" s="31" t="n">
        <v>46455</v>
      </c>
    </row>
    <row r="434" customFormat="false" ht="15" hidden="false" customHeight="true" outlineLevel="0" collapsed="false">
      <c r="A434" s="31" t="n">
        <v>46456</v>
      </c>
    </row>
    <row r="435" customFormat="false" ht="15" hidden="false" customHeight="true" outlineLevel="0" collapsed="false">
      <c r="A435" s="31" t="n">
        <v>46457</v>
      </c>
    </row>
    <row r="436" customFormat="false" ht="15" hidden="false" customHeight="true" outlineLevel="0" collapsed="false">
      <c r="A436" s="31" t="n">
        <v>46458</v>
      </c>
    </row>
    <row r="437" customFormat="false" ht="15" hidden="false" customHeight="true" outlineLevel="0" collapsed="false">
      <c r="A437" s="31" t="n">
        <v>46459</v>
      </c>
    </row>
    <row r="438" customFormat="false" ht="15" hidden="false" customHeight="true" outlineLevel="0" collapsed="false">
      <c r="A438" s="31" t="n">
        <v>46460</v>
      </c>
    </row>
    <row r="439" customFormat="false" ht="15" hidden="false" customHeight="true" outlineLevel="0" collapsed="false">
      <c r="A439" s="31" t="n">
        <v>46461</v>
      </c>
    </row>
    <row r="440" customFormat="false" ht="15" hidden="false" customHeight="true" outlineLevel="0" collapsed="false">
      <c r="A440" s="31" t="n">
        <v>46462</v>
      </c>
    </row>
    <row r="441" customFormat="false" ht="15" hidden="false" customHeight="true" outlineLevel="0" collapsed="false">
      <c r="A441" s="31" t="n">
        <v>46463</v>
      </c>
    </row>
    <row r="442" customFormat="false" ht="15" hidden="false" customHeight="true" outlineLevel="0" collapsed="false">
      <c r="A442" s="31" t="n">
        <v>46464</v>
      </c>
    </row>
    <row r="443" customFormat="false" ht="15" hidden="false" customHeight="true" outlineLevel="0" collapsed="false">
      <c r="A443" s="31" t="n">
        <v>46465</v>
      </c>
    </row>
    <row r="444" customFormat="false" ht="15" hidden="false" customHeight="true" outlineLevel="0" collapsed="false">
      <c r="A444" s="31" t="n">
        <v>46466</v>
      </c>
    </row>
    <row r="445" customFormat="false" ht="15" hidden="false" customHeight="true" outlineLevel="0" collapsed="false">
      <c r="A445" s="31" t="n">
        <v>46467</v>
      </c>
    </row>
    <row r="446" customFormat="false" ht="15" hidden="false" customHeight="true" outlineLevel="0" collapsed="false">
      <c r="A446" s="31" t="n">
        <v>46468</v>
      </c>
    </row>
    <row r="447" customFormat="false" ht="15" hidden="false" customHeight="true" outlineLevel="0" collapsed="false">
      <c r="A447" s="31" t="n">
        <v>46469</v>
      </c>
    </row>
    <row r="448" customFormat="false" ht="15" hidden="false" customHeight="true" outlineLevel="0" collapsed="false">
      <c r="A448" s="31" t="n">
        <v>46470</v>
      </c>
    </row>
    <row r="449" customFormat="false" ht="15" hidden="false" customHeight="true" outlineLevel="0" collapsed="false">
      <c r="A449" s="31" t="n">
        <v>46471</v>
      </c>
    </row>
    <row r="450" customFormat="false" ht="15" hidden="false" customHeight="true" outlineLevel="0" collapsed="false">
      <c r="A450" s="31" t="n">
        <v>46472</v>
      </c>
    </row>
    <row r="451" customFormat="false" ht="15" hidden="false" customHeight="true" outlineLevel="0" collapsed="false">
      <c r="A451" s="31" t="n">
        <v>46473</v>
      </c>
    </row>
    <row r="452" customFormat="false" ht="15" hidden="false" customHeight="true" outlineLevel="0" collapsed="false">
      <c r="A452" s="31" t="n">
        <v>46474</v>
      </c>
    </row>
    <row r="453" customFormat="false" ht="15" hidden="false" customHeight="true" outlineLevel="0" collapsed="false">
      <c r="A453" s="31" t="n">
        <v>46475</v>
      </c>
    </row>
    <row r="454" customFormat="false" ht="15" hidden="false" customHeight="true" outlineLevel="0" collapsed="false">
      <c r="A454" s="31" t="n">
        <v>46476</v>
      </c>
    </row>
    <row r="455" customFormat="false" ht="15" hidden="false" customHeight="true" outlineLevel="0" collapsed="false">
      <c r="A455" s="31" t="n">
        <v>46477</v>
      </c>
    </row>
    <row r="456" customFormat="false" ht="15" hidden="false" customHeight="true" outlineLevel="0" collapsed="false">
      <c r="A456" s="31" t="n">
        <v>46478</v>
      </c>
    </row>
    <row r="457" customFormat="false" ht="15" hidden="false" customHeight="true" outlineLevel="0" collapsed="false">
      <c r="A457" s="31" t="n">
        <v>46479</v>
      </c>
    </row>
    <row r="458" customFormat="false" ht="15" hidden="false" customHeight="true" outlineLevel="0" collapsed="false">
      <c r="A458" s="31" t="n">
        <v>46480</v>
      </c>
    </row>
    <row r="459" customFormat="false" ht="15" hidden="false" customHeight="true" outlineLevel="0" collapsed="false">
      <c r="A459" s="31" t="n">
        <v>46481</v>
      </c>
    </row>
    <row r="460" customFormat="false" ht="15" hidden="false" customHeight="true" outlineLevel="0" collapsed="false">
      <c r="A460" s="31" t="n">
        <v>46482</v>
      </c>
    </row>
    <row r="461" customFormat="false" ht="15" hidden="false" customHeight="true" outlineLevel="0" collapsed="false">
      <c r="A461" s="31" t="n">
        <v>46483</v>
      </c>
    </row>
    <row r="462" customFormat="false" ht="15" hidden="false" customHeight="true" outlineLevel="0" collapsed="false">
      <c r="A462" s="31" t="n">
        <v>46484</v>
      </c>
    </row>
    <row r="463" customFormat="false" ht="15" hidden="false" customHeight="true" outlineLevel="0" collapsed="false">
      <c r="A463" s="31" t="n">
        <v>46485</v>
      </c>
    </row>
    <row r="464" customFormat="false" ht="15" hidden="false" customHeight="true" outlineLevel="0" collapsed="false">
      <c r="A464" s="31" t="n">
        <v>46486</v>
      </c>
    </row>
    <row r="465" customFormat="false" ht="15" hidden="false" customHeight="true" outlineLevel="0" collapsed="false">
      <c r="A465" s="31" t="n">
        <v>46487</v>
      </c>
    </row>
    <row r="466" customFormat="false" ht="15" hidden="false" customHeight="true" outlineLevel="0" collapsed="false">
      <c r="A466" s="31" t="n">
        <v>46488</v>
      </c>
    </row>
    <row r="467" customFormat="false" ht="15" hidden="false" customHeight="true" outlineLevel="0" collapsed="false">
      <c r="A467" s="31" t="n">
        <v>46489</v>
      </c>
    </row>
    <row r="468" customFormat="false" ht="15" hidden="false" customHeight="true" outlineLevel="0" collapsed="false">
      <c r="A468" s="31" t="n">
        <v>46490</v>
      </c>
    </row>
    <row r="469" customFormat="false" ht="15" hidden="false" customHeight="true" outlineLevel="0" collapsed="false">
      <c r="A469" s="31" t="n">
        <v>46491</v>
      </c>
    </row>
    <row r="470" customFormat="false" ht="15" hidden="false" customHeight="true" outlineLevel="0" collapsed="false">
      <c r="A470" s="31" t="n">
        <v>46492</v>
      </c>
    </row>
    <row r="471" customFormat="false" ht="15" hidden="false" customHeight="true" outlineLevel="0" collapsed="false">
      <c r="A471" s="31" t="n">
        <v>46493</v>
      </c>
    </row>
    <row r="472" customFormat="false" ht="15" hidden="false" customHeight="true" outlineLevel="0" collapsed="false">
      <c r="A472" s="31" t="n">
        <v>46494</v>
      </c>
    </row>
    <row r="473" customFormat="false" ht="15" hidden="false" customHeight="true" outlineLevel="0" collapsed="false">
      <c r="A473" s="31" t="n">
        <v>46495</v>
      </c>
    </row>
    <row r="474" customFormat="false" ht="15" hidden="false" customHeight="true" outlineLevel="0" collapsed="false">
      <c r="A474" s="31" t="n">
        <v>46496</v>
      </c>
    </row>
    <row r="475" customFormat="false" ht="15" hidden="false" customHeight="true" outlineLevel="0" collapsed="false">
      <c r="A475" s="31" t="n">
        <v>46497</v>
      </c>
    </row>
    <row r="476" customFormat="false" ht="15" hidden="false" customHeight="true" outlineLevel="0" collapsed="false">
      <c r="A476" s="31" t="n">
        <v>46498</v>
      </c>
    </row>
    <row r="477" customFormat="false" ht="15" hidden="false" customHeight="true" outlineLevel="0" collapsed="false">
      <c r="A477" s="31" t="n">
        <v>46499</v>
      </c>
    </row>
    <row r="478" customFormat="false" ht="15" hidden="false" customHeight="true" outlineLevel="0" collapsed="false">
      <c r="A478" s="31" t="n">
        <v>46500</v>
      </c>
    </row>
    <row r="479" customFormat="false" ht="15" hidden="false" customHeight="true" outlineLevel="0" collapsed="false">
      <c r="A479" s="31" t="n">
        <v>46501</v>
      </c>
    </row>
    <row r="480" customFormat="false" ht="15" hidden="false" customHeight="true" outlineLevel="0" collapsed="false">
      <c r="A480" s="31" t="n">
        <v>46502</v>
      </c>
    </row>
    <row r="481" customFormat="false" ht="15" hidden="false" customHeight="true" outlineLevel="0" collapsed="false">
      <c r="A481" s="31" t="n">
        <v>46503</v>
      </c>
    </row>
    <row r="482" customFormat="false" ht="15" hidden="false" customHeight="true" outlineLevel="0" collapsed="false">
      <c r="A482" s="31" t="n">
        <v>46504</v>
      </c>
    </row>
    <row r="483" customFormat="false" ht="15" hidden="false" customHeight="true" outlineLevel="0" collapsed="false">
      <c r="A483" s="31" t="n">
        <v>46505</v>
      </c>
    </row>
    <row r="484" customFormat="false" ht="15" hidden="false" customHeight="true" outlineLevel="0" collapsed="false">
      <c r="A484" s="31" t="n">
        <v>46506</v>
      </c>
    </row>
    <row r="485" customFormat="false" ht="15" hidden="false" customHeight="true" outlineLevel="0" collapsed="false">
      <c r="A485" s="31" t="n">
        <v>46507</v>
      </c>
    </row>
    <row r="486" customFormat="false" ht="15" hidden="false" customHeight="true" outlineLevel="0" collapsed="false">
      <c r="A486" s="31" t="n">
        <v>46508</v>
      </c>
    </row>
    <row r="487" customFormat="false" ht="15" hidden="false" customHeight="true" outlineLevel="0" collapsed="false">
      <c r="A487" s="31" t="n">
        <v>46509</v>
      </c>
    </row>
    <row r="488" customFormat="false" ht="15" hidden="false" customHeight="true" outlineLevel="0" collapsed="false">
      <c r="A488" s="31" t="n">
        <v>46510</v>
      </c>
    </row>
    <row r="489" customFormat="false" ht="15" hidden="false" customHeight="true" outlineLevel="0" collapsed="false">
      <c r="A489" s="31" t="n">
        <v>46511</v>
      </c>
    </row>
    <row r="490" customFormat="false" ht="15" hidden="false" customHeight="true" outlineLevel="0" collapsed="false">
      <c r="A490" s="31" t="n">
        <v>46512</v>
      </c>
    </row>
    <row r="491" customFormat="false" ht="15" hidden="false" customHeight="true" outlineLevel="0" collapsed="false">
      <c r="A491" s="31" t="n">
        <v>46513</v>
      </c>
    </row>
    <row r="492" customFormat="false" ht="15" hidden="false" customHeight="true" outlineLevel="0" collapsed="false">
      <c r="A492" s="31" t="n">
        <v>46514</v>
      </c>
    </row>
    <row r="493" customFormat="false" ht="15" hidden="false" customHeight="true" outlineLevel="0" collapsed="false">
      <c r="A493" s="31" t="n">
        <v>46515</v>
      </c>
    </row>
    <row r="494" customFormat="false" ht="15" hidden="false" customHeight="true" outlineLevel="0" collapsed="false">
      <c r="A494" s="31" t="n">
        <v>46516</v>
      </c>
    </row>
    <row r="495" customFormat="false" ht="15" hidden="false" customHeight="true" outlineLevel="0" collapsed="false">
      <c r="A495" s="31" t="n">
        <v>46517</v>
      </c>
    </row>
    <row r="496" customFormat="false" ht="15" hidden="false" customHeight="true" outlineLevel="0" collapsed="false">
      <c r="A496" s="31" t="n">
        <v>46518</v>
      </c>
    </row>
    <row r="497" customFormat="false" ht="15" hidden="false" customHeight="true" outlineLevel="0" collapsed="false">
      <c r="A497" s="31" t="n">
        <v>46519</v>
      </c>
    </row>
    <row r="498" customFormat="false" ht="15" hidden="false" customHeight="true" outlineLevel="0" collapsed="false">
      <c r="A498" s="31" t="n">
        <v>46520</v>
      </c>
    </row>
    <row r="499" customFormat="false" ht="15" hidden="false" customHeight="true" outlineLevel="0" collapsed="false">
      <c r="A499" s="31" t="n">
        <v>46521</v>
      </c>
    </row>
    <row r="500" customFormat="false" ht="15" hidden="false" customHeight="true" outlineLevel="0" collapsed="false">
      <c r="A500" s="31" t="n">
        <v>46522</v>
      </c>
    </row>
    <row r="501" customFormat="false" ht="15" hidden="false" customHeight="true" outlineLevel="0" collapsed="false">
      <c r="A501" s="31" t="n">
        <v>46523</v>
      </c>
    </row>
    <row r="502" customFormat="false" ht="15" hidden="false" customHeight="true" outlineLevel="0" collapsed="false">
      <c r="A502" s="31" t="n">
        <v>46524</v>
      </c>
    </row>
    <row r="503" customFormat="false" ht="15" hidden="false" customHeight="true" outlineLevel="0" collapsed="false">
      <c r="A503" s="31" t="n">
        <v>46525</v>
      </c>
    </row>
    <row r="504" customFormat="false" ht="15" hidden="false" customHeight="true" outlineLevel="0" collapsed="false">
      <c r="A504" s="31" t="n">
        <v>46526</v>
      </c>
    </row>
    <row r="505" customFormat="false" ht="15" hidden="false" customHeight="true" outlineLevel="0" collapsed="false">
      <c r="A505" s="31" t="n">
        <v>46527</v>
      </c>
    </row>
    <row r="506" customFormat="false" ht="15" hidden="false" customHeight="true" outlineLevel="0" collapsed="false">
      <c r="A506" s="31" t="n">
        <v>46528</v>
      </c>
    </row>
    <row r="507" customFormat="false" ht="15" hidden="false" customHeight="true" outlineLevel="0" collapsed="false">
      <c r="A507" s="31" t="n">
        <v>46529</v>
      </c>
    </row>
    <row r="508" customFormat="false" ht="15" hidden="false" customHeight="true" outlineLevel="0" collapsed="false">
      <c r="A508" s="31" t="n">
        <v>46530</v>
      </c>
    </row>
    <row r="509" customFormat="false" ht="15" hidden="false" customHeight="true" outlineLevel="0" collapsed="false">
      <c r="A509" s="31" t="n">
        <v>46531</v>
      </c>
    </row>
    <row r="510" customFormat="false" ht="15" hidden="false" customHeight="true" outlineLevel="0" collapsed="false">
      <c r="A510" s="31" t="n">
        <v>46532</v>
      </c>
    </row>
    <row r="511" customFormat="false" ht="15" hidden="false" customHeight="true" outlineLevel="0" collapsed="false">
      <c r="A511" s="31" t="n">
        <v>46533</v>
      </c>
    </row>
    <row r="512" customFormat="false" ht="15" hidden="false" customHeight="true" outlineLevel="0" collapsed="false">
      <c r="A512" s="31" t="n">
        <v>46534</v>
      </c>
    </row>
    <row r="513" customFormat="false" ht="15" hidden="false" customHeight="true" outlineLevel="0" collapsed="false">
      <c r="A513" s="31" t="n">
        <v>46535</v>
      </c>
    </row>
    <row r="514" customFormat="false" ht="15" hidden="false" customHeight="true" outlineLevel="0" collapsed="false">
      <c r="A514" s="31" t="n">
        <v>46536</v>
      </c>
    </row>
    <row r="515" customFormat="false" ht="15" hidden="false" customHeight="true" outlineLevel="0" collapsed="false">
      <c r="A515" s="31" t="n">
        <v>46537</v>
      </c>
    </row>
    <row r="516" customFormat="false" ht="15" hidden="false" customHeight="true" outlineLevel="0" collapsed="false">
      <c r="A516" s="31" t="n">
        <v>46538</v>
      </c>
    </row>
    <row r="517" customFormat="false" ht="15" hidden="false" customHeight="true" outlineLevel="0" collapsed="false">
      <c r="A517" s="31" t="n">
        <v>46539</v>
      </c>
    </row>
    <row r="518" customFormat="false" ht="15" hidden="false" customHeight="true" outlineLevel="0" collapsed="false">
      <c r="A518" s="31" t="n">
        <v>46540</v>
      </c>
    </row>
    <row r="519" customFormat="false" ht="15" hidden="false" customHeight="true" outlineLevel="0" collapsed="false">
      <c r="A519" s="31" t="n">
        <v>46541</v>
      </c>
    </row>
    <row r="520" customFormat="false" ht="15" hidden="false" customHeight="true" outlineLevel="0" collapsed="false">
      <c r="A520" s="31" t="n">
        <v>46542</v>
      </c>
    </row>
    <row r="521" customFormat="false" ht="15" hidden="false" customHeight="true" outlineLevel="0" collapsed="false">
      <c r="A521" s="31" t="n">
        <v>46543</v>
      </c>
    </row>
    <row r="522" customFormat="false" ht="15" hidden="false" customHeight="true" outlineLevel="0" collapsed="false">
      <c r="A522" s="31" t="n">
        <v>46544</v>
      </c>
    </row>
    <row r="523" customFormat="false" ht="15" hidden="false" customHeight="true" outlineLevel="0" collapsed="false">
      <c r="A523" s="31" t="n">
        <v>46545</v>
      </c>
    </row>
    <row r="524" customFormat="false" ht="15" hidden="false" customHeight="true" outlineLevel="0" collapsed="false">
      <c r="A524" s="31" t="n">
        <v>46546</v>
      </c>
    </row>
    <row r="525" customFormat="false" ht="15" hidden="false" customHeight="true" outlineLevel="0" collapsed="false">
      <c r="A525" s="31" t="n">
        <v>46547</v>
      </c>
    </row>
    <row r="526" customFormat="false" ht="15" hidden="false" customHeight="true" outlineLevel="0" collapsed="false">
      <c r="A526" s="31" t="n">
        <v>46548</v>
      </c>
    </row>
    <row r="527" customFormat="false" ht="15" hidden="false" customHeight="true" outlineLevel="0" collapsed="false">
      <c r="A527" s="31" t="n">
        <v>46549</v>
      </c>
    </row>
    <row r="528" customFormat="false" ht="15" hidden="false" customHeight="true" outlineLevel="0" collapsed="false">
      <c r="A528" s="31" t="n">
        <v>46550</v>
      </c>
    </row>
    <row r="529" customFormat="false" ht="15" hidden="false" customHeight="true" outlineLevel="0" collapsed="false">
      <c r="A529" s="31" t="n">
        <v>46551</v>
      </c>
    </row>
    <row r="530" customFormat="false" ht="15" hidden="false" customHeight="true" outlineLevel="0" collapsed="false">
      <c r="A530" s="31" t="n">
        <v>46552</v>
      </c>
    </row>
    <row r="531" customFormat="false" ht="15" hidden="false" customHeight="true" outlineLevel="0" collapsed="false">
      <c r="A531" s="31" t="n">
        <v>46553</v>
      </c>
    </row>
    <row r="532" customFormat="false" ht="15" hidden="false" customHeight="true" outlineLevel="0" collapsed="false">
      <c r="A532" s="31" t="n">
        <v>46554</v>
      </c>
    </row>
    <row r="533" customFormat="false" ht="15" hidden="false" customHeight="true" outlineLevel="0" collapsed="false">
      <c r="A533" s="31" t="n">
        <v>46555</v>
      </c>
    </row>
    <row r="534" customFormat="false" ht="15" hidden="false" customHeight="true" outlineLevel="0" collapsed="false">
      <c r="A534" s="31" t="n">
        <v>46556</v>
      </c>
    </row>
    <row r="535" customFormat="false" ht="15" hidden="false" customHeight="true" outlineLevel="0" collapsed="false">
      <c r="A535" s="31" t="n">
        <v>46557</v>
      </c>
    </row>
    <row r="536" customFormat="false" ht="15" hidden="false" customHeight="true" outlineLevel="0" collapsed="false">
      <c r="A536" s="31" t="n">
        <v>46558</v>
      </c>
    </row>
    <row r="537" customFormat="false" ht="15" hidden="false" customHeight="true" outlineLevel="0" collapsed="false">
      <c r="A537" s="31" t="n">
        <v>46559</v>
      </c>
    </row>
    <row r="538" customFormat="false" ht="15" hidden="false" customHeight="true" outlineLevel="0" collapsed="false">
      <c r="A538" s="31" t="n">
        <v>46560</v>
      </c>
    </row>
    <row r="539" customFormat="false" ht="15" hidden="false" customHeight="true" outlineLevel="0" collapsed="false">
      <c r="A539" s="31" t="n">
        <v>46561</v>
      </c>
    </row>
    <row r="540" customFormat="false" ht="15" hidden="false" customHeight="true" outlineLevel="0" collapsed="false">
      <c r="A540" s="31" t="n">
        <v>46562</v>
      </c>
    </row>
    <row r="541" customFormat="false" ht="15" hidden="false" customHeight="true" outlineLevel="0" collapsed="false">
      <c r="A541" s="31" t="n">
        <v>46563</v>
      </c>
    </row>
    <row r="542" customFormat="false" ht="15" hidden="false" customHeight="true" outlineLevel="0" collapsed="false">
      <c r="A542" s="31" t="n">
        <v>46564</v>
      </c>
    </row>
    <row r="543" customFormat="false" ht="15" hidden="false" customHeight="true" outlineLevel="0" collapsed="false">
      <c r="A543" s="31" t="n">
        <v>46565</v>
      </c>
    </row>
    <row r="544" customFormat="false" ht="15" hidden="false" customHeight="true" outlineLevel="0" collapsed="false">
      <c r="A544" s="31" t="n">
        <v>46566</v>
      </c>
    </row>
    <row r="545" customFormat="false" ht="15" hidden="false" customHeight="true" outlineLevel="0" collapsed="false">
      <c r="A545" s="31" t="n">
        <v>46567</v>
      </c>
    </row>
    <row r="546" customFormat="false" ht="15" hidden="false" customHeight="true" outlineLevel="0" collapsed="false">
      <c r="A546" s="31" t="n">
        <v>46568</v>
      </c>
    </row>
    <row r="547" customFormat="false" ht="15" hidden="false" customHeight="true" outlineLevel="0" collapsed="false">
      <c r="A547" s="31" t="n">
        <v>46569</v>
      </c>
    </row>
    <row r="548" customFormat="false" ht="15" hidden="false" customHeight="true" outlineLevel="0" collapsed="false">
      <c r="A548" s="31" t="n">
        <v>46570</v>
      </c>
    </row>
    <row r="549" customFormat="false" ht="15" hidden="false" customHeight="true" outlineLevel="0" collapsed="false">
      <c r="A549" s="31" t="n">
        <v>46571</v>
      </c>
    </row>
    <row r="550" customFormat="false" ht="15" hidden="false" customHeight="true" outlineLevel="0" collapsed="false">
      <c r="A550" s="31" t="n">
        <v>46572</v>
      </c>
    </row>
    <row r="551" customFormat="false" ht="15" hidden="false" customHeight="true" outlineLevel="0" collapsed="false">
      <c r="A551" s="31" t="n">
        <v>46573</v>
      </c>
    </row>
    <row r="552" customFormat="false" ht="15" hidden="false" customHeight="true" outlineLevel="0" collapsed="false">
      <c r="A552" s="31" t="n">
        <v>46574</v>
      </c>
    </row>
    <row r="553" customFormat="false" ht="15" hidden="false" customHeight="true" outlineLevel="0" collapsed="false">
      <c r="A553" s="31" t="n">
        <v>46575</v>
      </c>
    </row>
    <row r="554" customFormat="false" ht="15" hidden="false" customHeight="true" outlineLevel="0" collapsed="false">
      <c r="A554" s="31" t="n">
        <v>46576</v>
      </c>
    </row>
    <row r="555" customFormat="false" ht="15" hidden="false" customHeight="true" outlineLevel="0" collapsed="false">
      <c r="A555" s="31" t="n">
        <v>46577</v>
      </c>
    </row>
    <row r="556" customFormat="false" ht="15" hidden="false" customHeight="true" outlineLevel="0" collapsed="false">
      <c r="A556" s="31" t="n">
        <v>46578</v>
      </c>
    </row>
    <row r="557" customFormat="false" ht="15" hidden="false" customHeight="true" outlineLevel="0" collapsed="false">
      <c r="A557" s="31" t="n">
        <v>46579</v>
      </c>
    </row>
    <row r="558" customFormat="false" ht="15" hidden="false" customHeight="true" outlineLevel="0" collapsed="false">
      <c r="A558" s="31" t="n">
        <v>46580</v>
      </c>
    </row>
    <row r="559" customFormat="false" ht="15" hidden="false" customHeight="true" outlineLevel="0" collapsed="false">
      <c r="A559" s="31" t="n">
        <v>46581</v>
      </c>
    </row>
    <row r="560" customFormat="false" ht="15" hidden="false" customHeight="true" outlineLevel="0" collapsed="false">
      <c r="A560" s="31" t="n">
        <v>46582</v>
      </c>
    </row>
    <row r="561" customFormat="false" ht="15" hidden="false" customHeight="true" outlineLevel="0" collapsed="false">
      <c r="A561" s="31" t="n">
        <v>46583</v>
      </c>
    </row>
    <row r="562" customFormat="false" ht="15" hidden="false" customHeight="true" outlineLevel="0" collapsed="false">
      <c r="A562" s="31" t="n">
        <v>46584</v>
      </c>
    </row>
    <row r="563" customFormat="false" ht="15" hidden="false" customHeight="true" outlineLevel="0" collapsed="false">
      <c r="A563" s="31" t="n">
        <v>46585</v>
      </c>
    </row>
    <row r="564" customFormat="false" ht="15" hidden="false" customHeight="true" outlineLevel="0" collapsed="false">
      <c r="A564" s="31" t="n">
        <v>46586</v>
      </c>
    </row>
    <row r="565" customFormat="false" ht="15" hidden="false" customHeight="true" outlineLevel="0" collapsed="false">
      <c r="A565" s="31" t="n">
        <v>46587</v>
      </c>
    </row>
    <row r="566" customFormat="false" ht="15" hidden="false" customHeight="true" outlineLevel="0" collapsed="false">
      <c r="A566" s="31" t="n">
        <v>46588</v>
      </c>
    </row>
    <row r="567" customFormat="false" ht="15" hidden="false" customHeight="true" outlineLevel="0" collapsed="false">
      <c r="A567" s="31" t="n">
        <v>46589</v>
      </c>
    </row>
    <row r="568" customFormat="false" ht="15" hidden="false" customHeight="true" outlineLevel="0" collapsed="false">
      <c r="A568" s="31" t="n">
        <v>46590</v>
      </c>
    </row>
    <row r="569" customFormat="false" ht="15" hidden="false" customHeight="true" outlineLevel="0" collapsed="false">
      <c r="A569" s="31" t="n">
        <v>46591</v>
      </c>
    </row>
    <row r="570" customFormat="false" ht="15" hidden="false" customHeight="true" outlineLevel="0" collapsed="false">
      <c r="A570" s="31" t="n">
        <v>46592</v>
      </c>
    </row>
    <row r="571" customFormat="false" ht="15" hidden="false" customHeight="true" outlineLevel="0" collapsed="false">
      <c r="A571" s="31" t="n">
        <v>46593</v>
      </c>
    </row>
    <row r="572" customFormat="false" ht="15" hidden="false" customHeight="true" outlineLevel="0" collapsed="false">
      <c r="A572" s="31" t="n">
        <v>46594</v>
      </c>
    </row>
    <row r="573" customFormat="false" ht="15" hidden="false" customHeight="true" outlineLevel="0" collapsed="false">
      <c r="A573" s="31" t="n">
        <v>46595</v>
      </c>
    </row>
    <row r="574" customFormat="false" ht="15" hidden="false" customHeight="true" outlineLevel="0" collapsed="false">
      <c r="A574" s="31" t="n">
        <v>46596</v>
      </c>
    </row>
    <row r="575" customFormat="false" ht="15" hidden="false" customHeight="true" outlineLevel="0" collapsed="false">
      <c r="A575" s="31" t="n">
        <v>46597</v>
      </c>
    </row>
    <row r="576" customFormat="false" ht="15" hidden="false" customHeight="true" outlineLevel="0" collapsed="false">
      <c r="A576" s="31" t="n">
        <v>46598</v>
      </c>
    </row>
    <row r="577" customFormat="false" ht="15" hidden="false" customHeight="true" outlineLevel="0" collapsed="false">
      <c r="A577" s="31" t="n">
        <v>46599</v>
      </c>
    </row>
    <row r="578" customFormat="false" ht="15" hidden="false" customHeight="true" outlineLevel="0" collapsed="false">
      <c r="A578" s="31" t="n">
        <v>46600</v>
      </c>
    </row>
    <row r="579" customFormat="false" ht="15" hidden="false" customHeight="true" outlineLevel="0" collapsed="false">
      <c r="A579" s="31" t="n">
        <v>46601</v>
      </c>
    </row>
    <row r="580" customFormat="false" ht="15" hidden="false" customHeight="true" outlineLevel="0" collapsed="false">
      <c r="A580" s="31" t="n">
        <v>46602</v>
      </c>
    </row>
    <row r="581" customFormat="false" ht="15" hidden="false" customHeight="true" outlineLevel="0" collapsed="false">
      <c r="A581" s="31" t="n">
        <v>46603</v>
      </c>
    </row>
    <row r="582" customFormat="false" ht="15" hidden="false" customHeight="true" outlineLevel="0" collapsed="false">
      <c r="A582" s="31" t="n">
        <v>46604</v>
      </c>
    </row>
    <row r="583" customFormat="false" ht="15" hidden="false" customHeight="true" outlineLevel="0" collapsed="false">
      <c r="A583" s="31" t="n">
        <v>46605</v>
      </c>
    </row>
    <row r="584" customFormat="false" ht="15" hidden="false" customHeight="true" outlineLevel="0" collapsed="false">
      <c r="A584" s="31" t="n">
        <v>46606</v>
      </c>
    </row>
    <row r="585" customFormat="false" ht="15" hidden="false" customHeight="true" outlineLevel="0" collapsed="false">
      <c r="A585" s="31" t="n">
        <v>46607</v>
      </c>
    </row>
    <row r="586" customFormat="false" ht="15" hidden="false" customHeight="true" outlineLevel="0" collapsed="false">
      <c r="A586" s="31" t="n">
        <v>46608</v>
      </c>
    </row>
    <row r="587" customFormat="false" ht="15" hidden="false" customHeight="true" outlineLevel="0" collapsed="false">
      <c r="A587" s="31" t="n">
        <v>46609</v>
      </c>
    </row>
    <row r="588" customFormat="false" ht="15" hidden="false" customHeight="true" outlineLevel="0" collapsed="false">
      <c r="A588" s="31" t="n">
        <v>46610</v>
      </c>
    </row>
    <row r="589" customFormat="false" ht="15" hidden="false" customHeight="true" outlineLevel="0" collapsed="false">
      <c r="A589" s="31" t="n">
        <v>46611</v>
      </c>
    </row>
    <row r="590" customFormat="false" ht="15" hidden="false" customHeight="true" outlineLevel="0" collapsed="false">
      <c r="A590" s="31" t="n">
        <v>46612</v>
      </c>
    </row>
    <row r="591" customFormat="false" ht="15" hidden="false" customHeight="true" outlineLevel="0" collapsed="false">
      <c r="A591" s="31" t="n">
        <v>46613</v>
      </c>
    </row>
    <row r="592" customFormat="false" ht="15" hidden="false" customHeight="true" outlineLevel="0" collapsed="false">
      <c r="A592" s="31" t="n">
        <v>46614</v>
      </c>
    </row>
    <row r="593" customFormat="false" ht="15" hidden="false" customHeight="true" outlineLevel="0" collapsed="false">
      <c r="A593" s="31" t="n">
        <v>46615</v>
      </c>
    </row>
    <row r="594" customFormat="false" ht="15" hidden="false" customHeight="true" outlineLevel="0" collapsed="false">
      <c r="A594" s="31" t="n">
        <v>46616</v>
      </c>
    </row>
    <row r="595" customFormat="false" ht="15" hidden="false" customHeight="true" outlineLevel="0" collapsed="false">
      <c r="A595" s="31" t="n">
        <v>46617</v>
      </c>
    </row>
    <row r="596" customFormat="false" ht="15" hidden="false" customHeight="true" outlineLevel="0" collapsed="false">
      <c r="A596" s="31" t="n">
        <v>46618</v>
      </c>
    </row>
    <row r="597" customFormat="false" ht="15" hidden="false" customHeight="true" outlineLevel="0" collapsed="false">
      <c r="A597" s="31" t="n">
        <v>46619</v>
      </c>
    </row>
    <row r="598" customFormat="false" ht="15" hidden="false" customHeight="true" outlineLevel="0" collapsed="false">
      <c r="A598" s="31" t="n">
        <v>46620</v>
      </c>
    </row>
    <row r="599" customFormat="false" ht="15" hidden="false" customHeight="true" outlineLevel="0" collapsed="false">
      <c r="A599" s="31" t="n">
        <v>46621</v>
      </c>
    </row>
    <row r="600" customFormat="false" ht="15" hidden="false" customHeight="true" outlineLevel="0" collapsed="false">
      <c r="A600" s="31" t="n">
        <v>46622</v>
      </c>
    </row>
    <row r="601" customFormat="false" ht="15" hidden="false" customHeight="true" outlineLevel="0" collapsed="false">
      <c r="A601" s="31" t="n">
        <v>46623</v>
      </c>
    </row>
    <row r="602" customFormat="false" ht="15" hidden="false" customHeight="true" outlineLevel="0" collapsed="false">
      <c r="A602" s="31" t="n">
        <v>46624</v>
      </c>
    </row>
    <row r="603" customFormat="false" ht="15" hidden="false" customHeight="true" outlineLevel="0" collapsed="false">
      <c r="A603" s="31" t="n">
        <v>46625</v>
      </c>
    </row>
    <row r="604" customFormat="false" ht="15" hidden="false" customHeight="true" outlineLevel="0" collapsed="false">
      <c r="A604" s="31" t="n">
        <v>46626</v>
      </c>
    </row>
    <row r="605" customFormat="false" ht="15" hidden="false" customHeight="true" outlineLevel="0" collapsed="false">
      <c r="A605" s="31" t="n">
        <v>46627</v>
      </c>
    </row>
    <row r="606" customFormat="false" ht="15" hidden="false" customHeight="true" outlineLevel="0" collapsed="false">
      <c r="A606" s="31" t="n">
        <v>46628</v>
      </c>
    </row>
    <row r="607" customFormat="false" ht="15" hidden="false" customHeight="true" outlineLevel="0" collapsed="false">
      <c r="A607" s="31" t="n">
        <v>46629</v>
      </c>
    </row>
    <row r="608" customFormat="false" ht="15" hidden="false" customHeight="true" outlineLevel="0" collapsed="false">
      <c r="A608" s="31" t="n">
        <v>46630</v>
      </c>
    </row>
    <row r="609" customFormat="false" ht="15" hidden="false" customHeight="true" outlineLevel="0" collapsed="false">
      <c r="A609" s="31" t="n">
        <v>46631</v>
      </c>
    </row>
    <row r="610" customFormat="false" ht="15" hidden="false" customHeight="true" outlineLevel="0" collapsed="false">
      <c r="A610" s="31" t="n">
        <v>46632</v>
      </c>
    </row>
    <row r="611" customFormat="false" ht="15" hidden="false" customHeight="true" outlineLevel="0" collapsed="false">
      <c r="A611" s="31" t="n">
        <v>46633</v>
      </c>
    </row>
    <row r="612" customFormat="false" ht="15" hidden="false" customHeight="true" outlineLevel="0" collapsed="false">
      <c r="A612" s="31" t="n">
        <v>46634</v>
      </c>
    </row>
    <row r="613" customFormat="false" ht="15" hidden="false" customHeight="true" outlineLevel="0" collapsed="false">
      <c r="A613" s="31" t="n">
        <v>46635</v>
      </c>
    </row>
    <row r="614" customFormat="false" ht="15" hidden="false" customHeight="true" outlineLevel="0" collapsed="false">
      <c r="A614" s="31" t="n">
        <v>46636</v>
      </c>
    </row>
    <row r="615" customFormat="false" ht="15" hidden="false" customHeight="true" outlineLevel="0" collapsed="false">
      <c r="A615" s="31" t="n">
        <v>46637</v>
      </c>
    </row>
    <row r="616" customFormat="false" ht="15" hidden="false" customHeight="true" outlineLevel="0" collapsed="false">
      <c r="A616" s="31" t="n">
        <v>46638</v>
      </c>
    </row>
    <row r="617" customFormat="false" ht="15" hidden="false" customHeight="true" outlineLevel="0" collapsed="false">
      <c r="A617" s="31" t="n">
        <v>46639</v>
      </c>
    </row>
    <row r="618" customFormat="false" ht="15" hidden="false" customHeight="true" outlineLevel="0" collapsed="false">
      <c r="A618" s="31" t="n">
        <v>46640</v>
      </c>
    </row>
    <row r="619" customFormat="false" ht="15" hidden="false" customHeight="true" outlineLevel="0" collapsed="false">
      <c r="A619" s="31" t="n">
        <v>46641</v>
      </c>
    </row>
    <row r="620" customFormat="false" ht="15" hidden="false" customHeight="true" outlineLevel="0" collapsed="false">
      <c r="A620" s="31" t="n">
        <v>46642</v>
      </c>
    </row>
    <row r="621" customFormat="false" ht="15" hidden="false" customHeight="true" outlineLevel="0" collapsed="false">
      <c r="A621" s="31" t="n">
        <v>46643</v>
      </c>
    </row>
    <row r="622" customFormat="false" ht="15" hidden="false" customHeight="true" outlineLevel="0" collapsed="false">
      <c r="A622" s="31" t="n">
        <v>46644</v>
      </c>
    </row>
    <row r="623" customFormat="false" ht="15" hidden="false" customHeight="true" outlineLevel="0" collapsed="false">
      <c r="A623" s="31" t="n">
        <v>46645</v>
      </c>
    </row>
    <row r="624" customFormat="false" ht="15" hidden="false" customHeight="true" outlineLevel="0" collapsed="false">
      <c r="A624" s="31" t="n">
        <v>46646</v>
      </c>
    </row>
    <row r="625" customFormat="false" ht="15" hidden="false" customHeight="true" outlineLevel="0" collapsed="false">
      <c r="A625" s="31" t="n">
        <v>46647</v>
      </c>
    </row>
    <row r="626" customFormat="false" ht="15" hidden="false" customHeight="true" outlineLevel="0" collapsed="false">
      <c r="A626" s="31" t="n">
        <v>46648</v>
      </c>
    </row>
    <row r="627" customFormat="false" ht="15" hidden="false" customHeight="true" outlineLevel="0" collapsed="false">
      <c r="A627" s="31" t="n">
        <v>46649</v>
      </c>
    </row>
    <row r="628" customFormat="false" ht="15" hidden="false" customHeight="true" outlineLevel="0" collapsed="false">
      <c r="A628" s="31" t="n">
        <v>46650</v>
      </c>
    </row>
    <row r="629" customFormat="false" ht="15" hidden="false" customHeight="true" outlineLevel="0" collapsed="false">
      <c r="A629" s="31" t="n">
        <v>46651</v>
      </c>
    </row>
    <row r="630" customFormat="false" ht="15" hidden="false" customHeight="true" outlineLevel="0" collapsed="false">
      <c r="A630" s="31" t="n">
        <v>46652</v>
      </c>
    </row>
    <row r="631" customFormat="false" ht="15" hidden="false" customHeight="true" outlineLevel="0" collapsed="false">
      <c r="A631" s="31" t="n">
        <v>46653</v>
      </c>
    </row>
    <row r="632" customFormat="false" ht="15" hidden="false" customHeight="true" outlineLevel="0" collapsed="false">
      <c r="A632" s="31" t="n">
        <v>46654</v>
      </c>
    </row>
    <row r="633" customFormat="false" ht="15" hidden="false" customHeight="true" outlineLevel="0" collapsed="false">
      <c r="A633" s="31" t="n">
        <v>46655</v>
      </c>
    </row>
    <row r="634" customFormat="false" ht="15" hidden="false" customHeight="true" outlineLevel="0" collapsed="false">
      <c r="A634" s="31" t="n">
        <v>46656</v>
      </c>
    </row>
    <row r="635" customFormat="false" ht="15" hidden="false" customHeight="true" outlineLevel="0" collapsed="false">
      <c r="A635" s="31" t="n">
        <v>46657</v>
      </c>
    </row>
    <row r="636" customFormat="false" ht="15" hidden="false" customHeight="true" outlineLevel="0" collapsed="false">
      <c r="A636" s="31" t="n">
        <v>46658</v>
      </c>
    </row>
    <row r="637" customFormat="false" ht="15" hidden="false" customHeight="true" outlineLevel="0" collapsed="false">
      <c r="A637" s="31" t="n">
        <v>46659</v>
      </c>
    </row>
    <row r="638" customFormat="false" ht="15" hidden="false" customHeight="true" outlineLevel="0" collapsed="false">
      <c r="A638" s="31" t="n">
        <v>46660</v>
      </c>
    </row>
    <row r="639" customFormat="false" ht="15" hidden="false" customHeight="true" outlineLevel="0" collapsed="false">
      <c r="A639" s="31" t="n">
        <v>46661</v>
      </c>
    </row>
    <row r="640" customFormat="false" ht="15" hidden="false" customHeight="true" outlineLevel="0" collapsed="false">
      <c r="A640" s="31" t="n">
        <v>46662</v>
      </c>
    </row>
    <row r="641" customFormat="false" ht="15" hidden="false" customHeight="true" outlineLevel="0" collapsed="false">
      <c r="A641" s="31" t="n">
        <v>46663</v>
      </c>
    </row>
    <row r="642" customFormat="false" ht="15" hidden="false" customHeight="true" outlineLevel="0" collapsed="false">
      <c r="A642" s="31" t="n">
        <v>46664</v>
      </c>
    </row>
    <row r="643" customFormat="false" ht="15" hidden="false" customHeight="true" outlineLevel="0" collapsed="false">
      <c r="A643" s="31" t="n">
        <v>46665</v>
      </c>
    </row>
    <row r="644" customFormat="false" ht="15" hidden="false" customHeight="true" outlineLevel="0" collapsed="false">
      <c r="A644" s="31" t="n">
        <v>46666</v>
      </c>
    </row>
    <row r="645" customFormat="false" ht="15" hidden="false" customHeight="true" outlineLevel="0" collapsed="false">
      <c r="A645" s="31" t="n">
        <v>46667</v>
      </c>
    </row>
    <row r="646" customFormat="false" ht="15" hidden="false" customHeight="true" outlineLevel="0" collapsed="false">
      <c r="A646" s="31" t="n">
        <v>46668</v>
      </c>
    </row>
    <row r="647" customFormat="false" ht="15" hidden="false" customHeight="true" outlineLevel="0" collapsed="false">
      <c r="A647" s="31" t="n">
        <v>46669</v>
      </c>
    </row>
    <row r="648" customFormat="false" ht="15" hidden="false" customHeight="true" outlineLevel="0" collapsed="false">
      <c r="A648" s="31" t="n">
        <v>46670</v>
      </c>
    </row>
    <row r="649" customFormat="false" ht="15" hidden="false" customHeight="true" outlineLevel="0" collapsed="false">
      <c r="A649" s="31" t="n">
        <v>46671</v>
      </c>
    </row>
    <row r="650" customFormat="false" ht="15" hidden="false" customHeight="true" outlineLevel="0" collapsed="false">
      <c r="A650" s="31" t="n">
        <v>46672</v>
      </c>
    </row>
    <row r="651" customFormat="false" ht="15" hidden="false" customHeight="true" outlineLevel="0" collapsed="false">
      <c r="A651" s="31" t="n">
        <v>46673</v>
      </c>
    </row>
    <row r="652" customFormat="false" ht="15" hidden="false" customHeight="true" outlineLevel="0" collapsed="false">
      <c r="A652" s="31" t="n">
        <v>46674</v>
      </c>
    </row>
    <row r="653" customFormat="false" ht="15" hidden="false" customHeight="true" outlineLevel="0" collapsed="false">
      <c r="A653" s="31" t="n">
        <v>46675</v>
      </c>
    </row>
    <row r="654" customFormat="false" ht="15" hidden="false" customHeight="true" outlineLevel="0" collapsed="false">
      <c r="A654" s="31" t="n">
        <v>46676</v>
      </c>
    </row>
    <row r="655" customFormat="false" ht="15" hidden="false" customHeight="true" outlineLevel="0" collapsed="false">
      <c r="A655" s="31" t="n">
        <v>46677</v>
      </c>
    </row>
    <row r="656" customFormat="false" ht="15" hidden="false" customHeight="true" outlineLevel="0" collapsed="false">
      <c r="A656" s="31" t="n">
        <v>46678</v>
      </c>
    </row>
    <row r="657" customFormat="false" ht="15" hidden="false" customHeight="true" outlineLevel="0" collapsed="false">
      <c r="A657" s="31" t="n">
        <v>46679</v>
      </c>
    </row>
    <row r="658" customFormat="false" ht="15" hidden="false" customHeight="true" outlineLevel="0" collapsed="false">
      <c r="A658" s="31" t="n">
        <v>46680</v>
      </c>
    </row>
    <row r="659" customFormat="false" ht="15" hidden="false" customHeight="true" outlineLevel="0" collapsed="false">
      <c r="A659" s="31" t="n">
        <v>46681</v>
      </c>
    </row>
    <row r="660" customFormat="false" ht="15" hidden="false" customHeight="true" outlineLevel="0" collapsed="false">
      <c r="A660" s="31" t="n">
        <v>46682</v>
      </c>
    </row>
    <row r="661" customFormat="false" ht="15" hidden="false" customHeight="true" outlineLevel="0" collapsed="false">
      <c r="A661" s="31" t="n">
        <v>46683</v>
      </c>
    </row>
    <row r="662" customFormat="false" ht="15" hidden="false" customHeight="true" outlineLevel="0" collapsed="false">
      <c r="A662" s="31" t="n">
        <v>46684</v>
      </c>
    </row>
    <row r="663" customFormat="false" ht="15" hidden="false" customHeight="true" outlineLevel="0" collapsed="false">
      <c r="A663" s="31" t="n">
        <v>46685</v>
      </c>
    </row>
    <row r="664" customFormat="false" ht="15" hidden="false" customHeight="true" outlineLevel="0" collapsed="false">
      <c r="A664" s="31" t="n">
        <v>46686</v>
      </c>
    </row>
    <row r="665" customFormat="false" ht="15" hidden="false" customHeight="true" outlineLevel="0" collapsed="false">
      <c r="A665" s="31" t="n">
        <v>46687</v>
      </c>
    </row>
    <row r="666" customFormat="false" ht="15" hidden="false" customHeight="true" outlineLevel="0" collapsed="false">
      <c r="A666" s="31" t="n">
        <v>46688</v>
      </c>
    </row>
    <row r="667" customFormat="false" ht="15" hidden="false" customHeight="true" outlineLevel="0" collapsed="false">
      <c r="A667" s="31" t="n">
        <v>46689</v>
      </c>
    </row>
    <row r="668" customFormat="false" ht="15" hidden="false" customHeight="true" outlineLevel="0" collapsed="false">
      <c r="A668" s="31" t="n">
        <v>46690</v>
      </c>
    </row>
    <row r="669" customFormat="false" ht="15" hidden="false" customHeight="true" outlineLevel="0" collapsed="false">
      <c r="A669" s="31" t="n">
        <v>46691</v>
      </c>
    </row>
    <row r="670" customFormat="false" ht="15" hidden="false" customHeight="true" outlineLevel="0" collapsed="false">
      <c r="A670" s="31" t="n">
        <v>46692</v>
      </c>
    </row>
    <row r="671" customFormat="false" ht="15" hidden="false" customHeight="true" outlineLevel="0" collapsed="false">
      <c r="A671" s="31" t="n">
        <v>46693</v>
      </c>
    </row>
    <row r="672" customFormat="false" ht="15" hidden="false" customHeight="true" outlineLevel="0" collapsed="false">
      <c r="A672" s="31" t="n">
        <v>46694</v>
      </c>
    </row>
    <row r="673" customFormat="false" ht="15" hidden="false" customHeight="true" outlineLevel="0" collapsed="false">
      <c r="A673" s="31" t="n">
        <v>46695</v>
      </c>
    </row>
    <row r="674" customFormat="false" ht="15" hidden="false" customHeight="true" outlineLevel="0" collapsed="false">
      <c r="A674" s="31" t="n">
        <v>46696</v>
      </c>
    </row>
    <row r="675" customFormat="false" ht="15" hidden="false" customHeight="true" outlineLevel="0" collapsed="false">
      <c r="A675" s="31" t="n">
        <v>46697</v>
      </c>
    </row>
    <row r="676" customFormat="false" ht="15" hidden="false" customHeight="true" outlineLevel="0" collapsed="false">
      <c r="A676" s="31" t="n">
        <v>46698</v>
      </c>
    </row>
    <row r="677" customFormat="false" ht="15" hidden="false" customHeight="true" outlineLevel="0" collapsed="false">
      <c r="A677" s="31" t="n">
        <v>46699</v>
      </c>
    </row>
    <row r="678" customFormat="false" ht="15" hidden="false" customHeight="true" outlineLevel="0" collapsed="false">
      <c r="A678" s="31" t="n">
        <v>46700</v>
      </c>
    </row>
    <row r="679" customFormat="false" ht="15" hidden="false" customHeight="true" outlineLevel="0" collapsed="false">
      <c r="A679" s="31" t="n">
        <v>46701</v>
      </c>
    </row>
    <row r="680" customFormat="false" ht="15" hidden="false" customHeight="true" outlineLevel="0" collapsed="false">
      <c r="A680" s="31" t="n">
        <v>46702</v>
      </c>
    </row>
    <row r="681" customFormat="false" ht="15" hidden="false" customHeight="true" outlineLevel="0" collapsed="false">
      <c r="A681" s="31" t="n">
        <v>46703</v>
      </c>
    </row>
    <row r="682" customFormat="false" ht="15" hidden="false" customHeight="true" outlineLevel="0" collapsed="false">
      <c r="A682" s="31" t="n">
        <v>46704</v>
      </c>
    </row>
    <row r="683" customFormat="false" ht="15" hidden="false" customHeight="true" outlineLevel="0" collapsed="false">
      <c r="A683" s="31" t="n">
        <v>46705</v>
      </c>
    </row>
    <row r="684" customFormat="false" ht="15" hidden="false" customHeight="true" outlineLevel="0" collapsed="false">
      <c r="A684" s="31" t="n">
        <v>46706</v>
      </c>
    </row>
    <row r="685" customFormat="false" ht="15" hidden="false" customHeight="true" outlineLevel="0" collapsed="false">
      <c r="A685" s="31" t="n">
        <v>46707</v>
      </c>
    </row>
    <row r="686" customFormat="false" ht="15" hidden="false" customHeight="true" outlineLevel="0" collapsed="false">
      <c r="A686" s="31" t="n">
        <v>46708</v>
      </c>
    </row>
    <row r="687" customFormat="false" ht="15" hidden="false" customHeight="true" outlineLevel="0" collapsed="false">
      <c r="A687" s="31" t="n">
        <v>46709</v>
      </c>
    </row>
    <row r="688" customFormat="false" ht="15" hidden="false" customHeight="true" outlineLevel="0" collapsed="false">
      <c r="A688" s="31" t="n">
        <v>46710</v>
      </c>
    </row>
    <row r="689" customFormat="false" ht="15" hidden="false" customHeight="true" outlineLevel="0" collapsed="false">
      <c r="A689" s="31" t="n">
        <v>46711</v>
      </c>
    </row>
    <row r="690" customFormat="false" ht="15" hidden="false" customHeight="true" outlineLevel="0" collapsed="false">
      <c r="A690" s="31" t="n">
        <v>46712</v>
      </c>
    </row>
    <row r="691" customFormat="false" ht="15" hidden="false" customHeight="true" outlineLevel="0" collapsed="false">
      <c r="A691" s="31" t="n">
        <v>46713</v>
      </c>
    </row>
    <row r="692" customFormat="false" ht="15" hidden="false" customHeight="true" outlineLevel="0" collapsed="false">
      <c r="A692" s="31" t="n">
        <v>46714</v>
      </c>
    </row>
    <row r="693" customFormat="false" ht="15" hidden="false" customHeight="true" outlineLevel="0" collapsed="false">
      <c r="A693" s="31" t="n">
        <v>46715</v>
      </c>
    </row>
    <row r="694" customFormat="false" ht="15" hidden="false" customHeight="true" outlineLevel="0" collapsed="false">
      <c r="A694" s="31" t="n">
        <v>46716</v>
      </c>
    </row>
    <row r="695" customFormat="false" ht="15" hidden="false" customHeight="true" outlineLevel="0" collapsed="false">
      <c r="A695" s="31" t="n">
        <v>46717</v>
      </c>
    </row>
    <row r="696" customFormat="false" ht="15" hidden="false" customHeight="true" outlineLevel="0" collapsed="false">
      <c r="A696" s="31" t="n">
        <v>46718</v>
      </c>
    </row>
    <row r="697" customFormat="false" ht="15" hidden="false" customHeight="true" outlineLevel="0" collapsed="false">
      <c r="A697" s="31" t="n">
        <v>46719</v>
      </c>
    </row>
    <row r="698" customFormat="false" ht="15" hidden="false" customHeight="true" outlineLevel="0" collapsed="false">
      <c r="A698" s="31" t="n">
        <v>46720</v>
      </c>
    </row>
    <row r="699" customFormat="false" ht="15" hidden="false" customHeight="true" outlineLevel="0" collapsed="false">
      <c r="A699" s="31" t="n">
        <v>46721</v>
      </c>
    </row>
    <row r="700" customFormat="false" ht="15" hidden="false" customHeight="true" outlineLevel="0" collapsed="false">
      <c r="A700" s="31" t="n">
        <v>46722</v>
      </c>
    </row>
    <row r="701" customFormat="false" ht="15" hidden="false" customHeight="true" outlineLevel="0" collapsed="false">
      <c r="A701" s="31" t="n">
        <v>46723</v>
      </c>
    </row>
    <row r="702" customFormat="false" ht="15" hidden="false" customHeight="true" outlineLevel="0" collapsed="false">
      <c r="A702" s="31" t="n">
        <v>46724</v>
      </c>
    </row>
    <row r="703" customFormat="false" ht="15" hidden="false" customHeight="true" outlineLevel="0" collapsed="false">
      <c r="A703" s="31" t="n">
        <v>46725</v>
      </c>
    </row>
    <row r="704" customFormat="false" ht="15" hidden="false" customHeight="true" outlineLevel="0" collapsed="false">
      <c r="A704" s="31" t="n">
        <v>46726</v>
      </c>
    </row>
    <row r="705" customFormat="false" ht="15" hidden="false" customHeight="true" outlineLevel="0" collapsed="false">
      <c r="A705" s="31" t="n">
        <v>46727</v>
      </c>
    </row>
    <row r="706" customFormat="false" ht="15" hidden="false" customHeight="true" outlineLevel="0" collapsed="false">
      <c r="A706" s="31" t="n">
        <v>46728</v>
      </c>
    </row>
    <row r="707" customFormat="false" ht="15" hidden="false" customHeight="true" outlineLevel="0" collapsed="false">
      <c r="A707" s="31" t="n">
        <v>46729</v>
      </c>
    </row>
    <row r="708" customFormat="false" ht="15" hidden="false" customHeight="true" outlineLevel="0" collapsed="false">
      <c r="A708" s="31" t="n">
        <v>46730</v>
      </c>
    </row>
    <row r="709" customFormat="false" ht="15" hidden="false" customHeight="true" outlineLevel="0" collapsed="false">
      <c r="A709" s="31" t="n">
        <v>46731</v>
      </c>
    </row>
    <row r="710" customFormat="false" ht="15" hidden="false" customHeight="true" outlineLevel="0" collapsed="false">
      <c r="A710" s="31" t="n">
        <v>46732</v>
      </c>
    </row>
    <row r="711" customFormat="false" ht="15" hidden="false" customHeight="true" outlineLevel="0" collapsed="false">
      <c r="A711" s="31" t="n">
        <v>46733</v>
      </c>
    </row>
    <row r="712" customFormat="false" ht="15" hidden="false" customHeight="true" outlineLevel="0" collapsed="false">
      <c r="A712" s="31" t="n">
        <v>46734</v>
      </c>
    </row>
    <row r="713" customFormat="false" ht="15" hidden="false" customHeight="true" outlineLevel="0" collapsed="false">
      <c r="A713" s="31" t="n">
        <v>46735</v>
      </c>
    </row>
    <row r="714" customFormat="false" ht="15" hidden="false" customHeight="true" outlineLevel="0" collapsed="false">
      <c r="A714" s="31" t="n">
        <v>46736</v>
      </c>
    </row>
    <row r="715" customFormat="false" ht="15" hidden="false" customHeight="true" outlineLevel="0" collapsed="false">
      <c r="A715" s="31" t="n">
        <v>46737</v>
      </c>
    </row>
    <row r="716" customFormat="false" ht="15" hidden="false" customHeight="true" outlineLevel="0" collapsed="false">
      <c r="A716" s="31" t="n">
        <v>46738</v>
      </c>
    </row>
    <row r="717" customFormat="false" ht="15" hidden="false" customHeight="true" outlineLevel="0" collapsed="false">
      <c r="A717" s="31" t="n">
        <v>46739</v>
      </c>
    </row>
    <row r="718" customFormat="false" ht="15" hidden="false" customHeight="true" outlineLevel="0" collapsed="false">
      <c r="A718" s="31" t="n">
        <v>46740</v>
      </c>
    </row>
    <row r="719" customFormat="false" ht="15" hidden="false" customHeight="true" outlineLevel="0" collapsed="false">
      <c r="A719" s="31" t="n">
        <v>46741</v>
      </c>
    </row>
    <row r="720" customFormat="false" ht="15" hidden="false" customHeight="true" outlineLevel="0" collapsed="false">
      <c r="A720" s="31" t="n">
        <v>46742</v>
      </c>
    </row>
    <row r="721" customFormat="false" ht="15" hidden="false" customHeight="true" outlineLevel="0" collapsed="false">
      <c r="A721" s="31" t="n">
        <v>46743</v>
      </c>
    </row>
    <row r="722" customFormat="false" ht="15" hidden="false" customHeight="true" outlineLevel="0" collapsed="false">
      <c r="A722" s="31" t="n">
        <v>46744</v>
      </c>
    </row>
    <row r="723" customFormat="false" ht="15" hidden="false" customHeight="true" outlineLevel="0" collapsed="false">
      <c r="A723" s="31" t="n">
        <v>46745</v>
      </c>
    </row>
    <row r="724" customFormat="false" ht="15" hidden="false" customHeight="true" outlineLevel="0" collapsed="false">
      <c r="A724" s="31" t="n">
        <v>46746</v>
      </c>
    </row>
    <row r="725" customFormat="false" ht="15" hidden="false" customHeight="true" outlineLevel="0" collapsed="false">
      <c r="A725" s="31" t="n">
        <v>46747</v>
      </c>
    </row>
    <row r="726" customFormat="false" ht="15" hidden="false" customHeight="true" outlineLevel="0" collapsed="false">
      <c r="A726" s="31" t="n">
        <v>46748</v>
      </c>
    </row>
    <row r="727" customFormat="false" ht="15" hidden="false" customHeight="true" outlineLevel="0" collapsed="false">
      <c r="A727" s="31" t="n">
        <v>46749</v>
      </c>
    </row>
    <row r="728" customFormat="false" ht="15" hidden="false" customHeight="true" outlineLevel="0" collapsed="false">
      <c r="A728" s="31" t="n">
        <v>46750</v>
      </c>
    </row>
    <row r="729" customFormat="false" ht="15" hidden="false" customHeight="true" outlineLevel="0" collapsed="false">
      <c r="A729" s="31" t="n">
        <v>46751</v>
      </c>
    </row>
    <row r="730" customFormat="false" ht="15" hidden="false" customHeight="true" outlineLevel="0" collapsed="false">
      <c r="A730" s="31" t="n">
        <v>46752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2026-06-03T09:29:34Z</dcterms:created>
  <dc:creator>openpyxl</dc:creator>
  <dc:description/>
  <dc:language>en-US</dc:language>
  <cp:lastModifiedBy/>
  <dcterms:modified xsi:type="dcterms:W3CDTF">2026-06-03T19:40:10Z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