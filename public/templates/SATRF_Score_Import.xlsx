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Workflow" sheetId="2" state="visible" r:id="rId4"/>
    <sheet name="Dashboard" sheetId="3" state="visible" r:id="rId5"/>
    <sheet name="Match Setup" sheetId="4" state="visible" r:id="rId6"/>
    <sheet name="Prone 50m" sheetId="5" state="visible" r:id="rId7"/>
    <sheet name="F-Class" sheetId="6" state="visible" r:id="rId8"/>
    <sheet name="3-Position 50m" sheetId="7" state="visible" r:id="rId9"/>
    <sheet name="3P Final" sheetId="8" state="visible" r:id="rId10"/>
    <sheet name="Prone Final" sheetId="9" state="visible" r:id="rId11"/>
    <sheet name="Results" sheetId="10" state="visible" r:id="rId12"/>
    <sheet name="Export (Upload)" sheetId="11" state="visible" r:id="rId13"/>
    <sheet name="Season &amp; PB" sheetId="12" state="visible" r:id="rId14"/>
    <sheet name="Class Records" sheetId="13" state="visible" r:id="rId15"/>
    <sheet name="Members" sheetId="14" state="visible" r:id="rId16"/>
    <sheet name="Lookups" sheetId="15" state="visible" r:id="rId17"/>
    <sheet name="Dates" sheetId="16" state="hidden" r:id="rId18"/>
    <sheet name="AllScores" sheetId="17" state="hidden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<sst xmlns="http://schemas.openxmlformats.org/spreadsheetml/2006/main" count="398" uniqueCount="220">
  <si>
    <t xml:space="preserve">SATRF Score Import — How to use this workbook</t>
  </si>
  <si>
    <t xml:space="preserve">Colour key</t>
  </si>
  <si>
    <t xml:space="preserve">Blue/peach cells = you type here. Grey cells = calculated automatically (do not edit).</t>
  </si>
  <si>
    <t xml:space="preserve">Tabs</t>
  </si>
  <si>
    <t xml:space="preserve">Prone 50m · F-Class · 3-Position 50m — one tab per discipline. Use the tab that matches the match.</t>
  </si>
  <si>
    <t xml:space="preserve">One row</t>
  </si>
  <si>
    <t xml:space="preserve">One row per shooter per match. Add as many rows as you need (formatting extends to row 100).</t>
  </si>
  <si>
    <t xml:space="preserve">Members tab</t>
  </si>
  <si>
    <t xml:space="preserve">Add/maintain your shooters there. Their names appear in the Shooter dropdown. Guests can be typed freely.</t>
  </si>
  <si>
    <t xml:space="preserve">Date</t>
  </si>
  <si>
    <t xml:space="preserve">Enter as YYYY-MM-DD (e.g. 2026-05-09). Excel date cells also work.</t>
  </si>
  <si>
    <t xml:space="preserve">Dropdowns</t>
  </si>
  <si>
    <t xml:space="preserve">Discipline, Shooter, Club, Category and Status are dropdowns. Pick from the list (or free-type a guest).</t>
  </si>
  <si>
    <t xml:space="preserve">Prone &amp; F-Class</t>
  </si>
  <si>
    <t xml:space="preserve">6 series × 10 shots. Enter the decimal series total (e.g. 100.7). Integer ring totals are optional.</t>
  </si>
  <si>
    <t xml:space="preserve">F-Class note</t>
  </si>
  <si>
    <t xml:space="preserve">Scored like ISSF: 2 diagrams of 5 = a 10-shot series, 6 series, total /600. Just enter the series total.</t>
  </si>
  <si>
    <t xml:space="preserve">3-Position</t>
  </si>
  <si>
    <t xml:space="preserve">Enter one total per position: Kneeling, Prone, Standing (20 shots each, 60 total). Decimals and/or integers.</t>
  </si>
  <si>
    <t xml:space="preserve">Decimal max</t>
  </si>
  <si>
    <t xml:space="preserve">Decimal max flags impossible values: 109.0 per 10-shot series (Prone/F-Class); 218.0 per 20-shot 3P position.</t>
  </si>
  <si>
    <t xml:space="preserve">Totals</t>
  </si>
  <si>
    <t xml:space="preserve">The Total columns are auto-summed for your own sanity check. The website recalculates on import.</t>
  </si>
  <si>
    <t xml:space="preserve">Status</t>
  </si>
  <si>
    <t xml:space="preserve">official (default) or provisional for incomplete/training scores.</t>
  </si>
  <si>
    <t xml:space="preserve">Electronic vs paper</t>
  </si>
  <si>
    <t xml:space="preserve">From an electronic PDF: copy each series/position decimal. From paper: enter the hand-tallied totals.</t>
  </si>
  <si>
    <t xml:space="preserve">SATRF Scoring Workflow</t>
  </si>
  <si>
    <t xml:space="preserve">Top to bottom. GREEN = every match · AMBER = only if a final is held · BLUE = a tab you type in · TEAL = auto result · NAVY = upload</t>
  </si>
  <si>
    <t xml:space="preserve">STEP 1
Set up the match  →  Match Setup tab</t>
  </si>
  <si>
    <t xml:space="preserve">One row per match: ID, name, date, discipline. Set 'Final held? Yes/No' and number of finalists. You decide per match — a small field can be qualification-only.</t>
  </si>
  <si>
    <t xml:space="preserve">⬇</t>
  </si>
  <si>
    <t xml:space="preserve">STEP 2  (always)
Capture Qualification
Prone / F-Class / 3-Position tab</t>
  </si>
  <si>
    <t xml:space="preserve">Enter series totals (Prone &amp; F-Class: 6×10) or position totals (3P: kneeling / prone / standing). The Check column should read 'OK to upload'.</t>
  </si>
  <si>
    <t xml:space="preserve">DECISION — was a final held?</t>
  </si>
  <si>
    <t xml:space="preserve">Read 'Final held?' from Match Setup. NO → go to Step 4. YES → do Step 3 first.</t>
  </si>
  <si>
    <t xml:space="preserve">NO ⬇</t>
  </si>
  <si>
    <t xml:space="preserve">YES ⬇</t>
  </si>
  <si>
    <t xml:space="preserve">No final.
Everyone ranked by qualification score. Go to Step 4.</t>
  </si>
  <si>
    <t xml:space="preserve">STEP 3
Capture the Final → '3P Final' / 'Prone Final' tab</t>
  </si>
  <si>
    <t xml:space="preserve">FINAL = decimal elimination: 3+3 opening then single shots. Finalists START AT ZERO — qualification is NOT carried forward. Record the final total + rank per finalist.</t>
  </si>
  <si>
    <t xml:space="preserve">STEP 4
Build overall result → Results tab</t>
  </si>
  <si>
    <t xml:space="preserve">ISSF ranking: finalists by their FINAL result on top, then everyone else by QUALIFICATION. Never added together.</t>
  </si>
  <si>
    <t xml:space="preserve">STEP 5
Upload to website → Export (Upload) tab</t>
  </si>
  <si>
    <t xml:space="preserve">Two-stage upload recommended: qualification file first, then the final as a separate linked record. Fallback: one file filtered by the 'Stage' column.</t>
  </si>
  <si>
    <t xml:space="preserve">KEY ISSF RULE — Qualification and Final are SEPARATE stages. Finalists start at zero; the qualification score is not carried into the final. Overall placing = finalists by final result, then non-finalists by qualification. The two scores are never summed.</t>
  </si>
  <si>
    <t xml:space="preserve">Legend</t>
  </si>
  <si>
    <t xml:space="preserve"> </t>
  </si>
  <si>
    <t xml:space="preserve">Always do — every match</t>
  </si>
  <si>
    <t xml:space="preserve">Only when a final is held</t>
  </si>
  <si>
    <t xml:space="preserve">A tab you type data into</t>
  </si>
  <si>
    <t xml:space="preserve">Auto-assembled result</t>
  </si>
  <si>
    <t xml:space="preserve">Upload step</t>
  </si>
  <si>
    <t xml:space="preserve">Score Summary Dashboard</t>
  </si>
  <si>
    <t xml:space="preserve">Auto-updates as you enter scores. Read-only.</t>
  </si>
  <si>
    <t xml:space="preserve">Discipline</t>
  </si>
  <si>
    <t xml:space="preserve">Entries</t>
  </si>
  <si>
    <t xml:space="preserve">Ready to upload</t>
  </si>
  <si>
    <t xml:space="preserve">Top Total (dec)</t>
  </si>
  <si>
    <t xml:space="preserve">Avg Total (dec)</t>
  </si>
  <si>
    <t xml:space="preserve">Prone 50m</t>
  </si>
  <si>
    <t xml:space="preserve">F-Class</t>
  </si>
  <si>
    <t xml:space="preserve">3-Position 50m</t>
  </si>
  <si>
    <t xml:space="preserve">TOTAL</t>
  </si>
  <si>
    <t xml:space="preserve">Entries by Category (all disciplines)</t>
  </si>
  <si>
    <t xml:space="preserve">Category</t>
  </si>
  <si>
    <t xml:space="preserve">Count</t>
  </si>
  <si>
    <t xml:space="preserve">open</t>
  </si>
  <si>
    <t xml:space="preserve">junior</t>
  </si>
  <si>
    <t xml:space="preserve">veteran</t>
  </si>
  <si>
    <t xml:space="preserve">ladies</t>
  </si>
  <si>
    <t xml:space="preserve">Match Setup — define each match once</t>
  </si>
  <si>
    <t xml:space="preserve">Fill one row per match. The Finals and Results tabs read from here. 'Final held?' decides whether a final is run; 'Finalists' sets how many advance (adjustable per match).</t>
  </si>
  <si>
    <t xml:space="preserve">Match ID</t>
  </si>
  <si>
    <t xml:space="preserve">Match Name</t>
  </si>
  <si>
    <t xml:space="preserve">Final held?</t>
  </si>
  <si>
    <t xml:space="preserve">Finalists</t>
  </si>
  <si>
    <t xml:space="preserve">Notes</t>
  </si>
  <si>
    <t xml:space="preserve">M001</t>
  </si>
  <si>
    <t xml:space="preserve">May Club Prone</t>
  </si>
  <si>
    <t xml:space="preserve">2026-05-09</t>
  </si>
  <si>
    <t xml:space="preserve">prone_50m</t>
  </si>
  <si>
    <t xml:space="preserve">No</t>
  </si>
  <si>
    <t xml:space="preserve">Qualification only — small field</t>
  </si>
  <si>
    <t xml:space="preserve">M002</t>
  </si>
  <si>
    <t xml:space="preserve">Open 3P Champs</t>
  </si>
  <si>
    <t xml:space="preserve">2026-05-23</t>
  </si>
  <si>
    <t xml:space="preserve">three_position_50m</t>
  </si>
  <si>
    <t xml:space="preserve">Yes</t>
  </si>
  <si>
    <t xml:space="preserve">Final held — record result (total + rank) on Finals tab</t>
  </si>
  <si>
    <t xml:space="preserve">Date (YYYY-MM-DD)</t>
  </si>
  <si>
    <t xml:space="preserve">Event Name</t>
  </si>
  <si>
    <t xml:space="preserve">Shooter Name</t>
  </si>
  <si>
    <t xml:space="preserve">Club</t>
  </si>
  <si>
    <t xml:space="preserve">S1 Dec</t>
  </si>
  <si>
    <t xml:space="preserve">S2 Dec</t>
  </si>
  <si>
    <t xml:space="preserve">S3 Dec</t>
  </si>
  <si>
    <t xml:space="preserve">S4 Dec</t>
  </si>
  <si>
    <t xml:space="preserve">S5 Dec</t>
  </si>
  <si>
    <t xml:space="preserve">S6 Dec</t>
  </si>
  <si>
    <t xml:space="preserve">S1 Int</t>
  </si>
  <si>
    <t xml:space="preserve">S2 Int</t>
  </si>
  <si>
    <t xml:space="preserve">S3 Int</t>
  </si>
  <si>
    <t xml:space="preserve">S4 Int</t>
  </si>
  <si>
    <t xml:space="preserve">S5 Int</t>
  </si>
  <si>
    <t xml:space="preserve">S6 Int</t>
  </si>
  <si>
    <t xml:space="preserve">Total Dec</t>
  </si>
  <si>
    <t xml:space="preserve">Total Int</t>
  </si>
  <si>
    <t xml:space="preserve">Check</t>
  </si>
  <si>
    <t xml:space="preserve">50 Meter Rifle Prone</t>
  </si>
  <si>
    <t xml:space="preserve">Arnold Prone</t>
  </si>
  <si>
    <t xml:space="preserve">official</t>
  </si>
  <si>
    <t xml:space="preserve">Example from electronic target — 60-shot match</t>
  </si>
  <si>
    <t xml:space="preserve">2026-06-10</t>
  </si>
  <si>
    <t xml:space="preserve">SATRF Nationals</t>
  </si>
  <si>
    <t xml:space="preserve">Jane Member</t>
  </si>
  <si>
    <t xml:space="preserve">2026-05-16</t>
  </si>
  <si>
    <t xml:space="preserve">Club F-Class 600</t>
  </si>
  <si>
    <t xml:space="preserve">fclass_open</t>
  </si>
  <si>
    <t xml:space="preserve">Pieter van Wyk</t>
  </si>
  <si>
    <t xml:space="preserve">Example — 6 series of 10 (2 diagrams of 5)</t>
  </si>
  <si>
    <t xml:space="preserve">3-Position 50m — QUALIFICATION (2 series per position, decimal)</t>
  </si>
  <si>
    <t xml:space="preserve">60 shots: Kneeling, Prone, Standing — each 2 series of 10. Enter the decimal total of each series (max 109.0). Total auto-sums (max 654.0). Order of fire: Kneeling, Prone, Standing.</t>
  </si>
  <si>
    <t xml:space="preserve">Kn S1</t>
  </si>
  <si>
    <t xml:space="preserve">Kn S2</t>
  </si>
  <si>
    <t xml:space="preserve">Pr S1</t>
  </si>
  <si>
    <t xml:space="preserve">Pr S2</t>
  </si>
  <si>
    <t xml:space="preserve">St S1</t>
  </si>
  <si>
    <t xml:space="preserve">St S2</t>
  </si>
  <si>
    <t xml:space="preserve">3-Position Open</t>
  </si>
  <si>
    <t xml:space="preserve">Lerato Dlamini</t>
  </si>
  <si>
    <t xml:space="preserve">SATRF Club</t>
  </si>
  <si>
    <t xml:space="preserve">Example — 2 series per position</t>
  </si>
  <si>
    <t xml:space="preserve">3P Final — ISSF 35-shot ladder (decimal)</t>
  </si>
  <si>
    <t xml:space="preserve">Starts from ZERO. Kneeling 10 (2×5), Prone 10 (2×5), Standing 2×5 series, then SINGLE-shot elimination (shots 31–35). Enter each value; LEAVE BLANK once the athlete is eliminated. Total auto-sums whatever was fired. Order: Kn, Pr, Standing series, then singles. Winner fires all 35; lower placers fewer.</t>
  </si>
  <si>
    <t xml:space="preserve">Std S1</t>
  </si>
  <si>
    <t xml:space="preserve">Std S2</t>
  </si>
  <si>
    <t xml:space="preserve">Elim 1</t>
  </si>
  <si>
    <t xml:space="preserve">Elim 2</t>
  </si>
  <si>
    <t xml:space="preserve">Elim 3</t>
  </si>
  <si>
    <t xml:space="preserve">Elim 4</t>
  </si>
  <si>
    <t xml:space="preserve">Elim 5</t>
  </si>
  <si>
    <t xml:space="preserve">Final Rank</t>
  </si>
  <si>
    <t xml:space="preserve">Winner — fires all 35 (full ladder). Each col = 5-shot series; Elim = single shots.</t>
  </si>
  <si>
    <t xml:space="preserve">Series columns (Kn/Pr/Std S1/S2) are 5-shot series totals (max ~54.5). Elim columns are single decimal shots (max 10.9). Leave blanks after elimination — Total sums only fired shots.</t>
  </si>
  <si>
    <t xml:space="preserve">Prone Final — 6 series (decimal)</t>
  </si>
  <si>
    <t xml:space="preserve">Separate stage, starts from ZERO (not added to qualification). Enter the 6 series decimals (max 109.0 each). Total auto-sums (max 654.0). Enter finishing Rank.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</si>
  <si>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</si>
  <si>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</si>
  <si>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</si>
  <si>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</si>
  <si>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</si>
  <si>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</si>
  <si>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Modderbee</t>
  </si>
  <si>
    <t xml:space="preserve">Prone final example</t>
  </si>
  <si>
    <t xml:space="preserve">Overall Results (ISSF ranking)</t>
  </si>
  <si>
    <t xml:space="preserve">Pick a Match ID below. Finalists are ranked by their FINAL result (start-from-zero) on top; everyone else is ranked by QUALIFICATION score beneath. Scores are never added — ISSF rule.</t>
  </si>
  <si>
    <t xml:space="preserve">Show Match ID:</t>
  </si>
  <si>
    <t xml:space="preserve">Overall Rank</t>
  </si>
  <si>
    <t xml:space="preserve">Shooter</t>
  </si>
  <si>
    <t xml:space="preserve">Stage that decides</t>
  </si>
  <si>
    <t xml:space="preserve">Qualification</t>
  </si>
  <si>
    <t xml:space="preserve">Final</t>
  </si>
  <si>
    <t xml:space="preserve">How to use: list each shooter once. Enter their Qualification total (from the qual tab) and, if they shot the final, their Final total + Final Rank (from the Finals tab). The 'Stage that decides' column shows which score sets their place. Finalists outrank non-finalists per ISSF.</t>
  </si>
  <si>
    <t xml:space="preserve">Combined Export — upload-ready</t>
  </si>
  <si>
    <t xml:space="preserve">One flat row per shooter per stage. 'Stage' = Qualification or Final. This can be uploaded as a single file, OR filtered by Stage and uploaded as two files (qualification first, then final). Adjust column names/order to match your website's importer.</t>
  </si>
  <si>
    <t xml:space="preserve">Stage</t>
  </si>
  <si>
    <t xml:space="preserve">Score (decimal)</t>
  </si>
  <si>
    <t xml:space="preserve">Season &amp; Personal Best Tracking</t>
  </si>
  <si>
    <t xml:space="preserve">Pick a shooter and a discipline. Shows all-time and current-season best &amp; average, in decimal and integer. Updates automatically from the score tabs.</t>
  </si>
  <si>
    <t xml:space="preserve">Shooter:</t>
  </si>
  <si>
    <t xml:space="preserve">Discipline:</t>
  </si>
  <si>
    <t xml:space="preserve">Season (year):</t>
  </si>
  <si>
    <t xml:space="preserve">Metric</t>
  </si>
  <si>
    <t xml:space="preserve">All-time (Dec)</t>
  </si>
  <si>
    <t xml:space="preserve">All-time (Int)</t>
  </si>
  <si>
    <t xml:space="preserve">Season (Dec)</t>
  </si>
  <si>
    <t xml:space="preserve">Season (Int)</t>
  </si>
  <si>
    <t xml:space="preserve">Matches shot</t>
  </si>
  <si>
    <t xml:space="preserve">Personal best</t>
  </si>
  <si>
    <t xml:space="preserve">Average</t>
  </si>
  <si>
    <t xml:space="preserve">Lowest</t>
  </si>
  <si>
    <t xml:space="preserve">Note: 'best' is the highest match total. Decimal and integer shown side by side. Season view uses the year in H4. Array formulas — totals recalc on open.</t>
  </si>
  <si>
    <t xml:space="preserve">Class Records — by Discipline &amp; Category</t>
  </si>
  <si>
    <t xml:space="preserve">Best decimal &amp; integer total recorded for each discipline/category combination, with who holds it and when. Auto-updates as scores are entered.</t>
  </si>
  <si>
    <t xml:space="preserve">Record (Dec)</t>
  </si>
  <si>
    <t xml:space="preserve">Holder (Dec)</t>
  </si>
  <si>
    <t xml:space="preserve">Date (Dec)</t>
  </si>
  <si>
    <t xml:space="preserve">Record (Int)</t>
  </si>
  <si>
    <t xml:space="preserve">Holder (Int)</t>
  </si>
  <si>
    <t xml:space="preserve">Date (Int)</t>
  </si>
  <si>
    <t xml:space="preserve">fclass_tr</t>
  </si>
  <si>
    <t xml:space="preserve">Holder/date shown are for the first matching best score. Records cover all valid entries in the workbook (status not required). Blank = no entry yet for that class.</t>
  </si>
  <si>
    <t xml:space="preserve">Default Category</t>
  </si>
  <si>
    <t xml:space="preserve">Maintain your member roster here. Names listed here appear in the Shooter dropdowns on the score tabs. Guests can still be typed in freely.</t>
  </si>
  <si>
    <t xml:space="preserve">Pretoria RC</t>
  </si>
  <si>
    <t xml:space="preserve">Sarah Naidoo</t>
  </si>
  <si>
    <t xml:space="preserve">Johan Botha</t>
  </si>
  <si>
    <t xml:space="preserve">Bloem Marksmen</t>
  </si>
  <si>
    <t xml:space="preserve">Thabo Mokoena</t>
  </si>
  <si>
    <t xml:space="preserve">Willem Pretorius</t>
  </si>
  <si>
    <t xml:space="preserve">Anita Smit</t>
  </si>
  <si>
    <t xml:space="preserve">Cape Rifle Club</t>
  </si>
  <si>
    <t xml:space="preserve">David Khumalo</t>
  </si>
  <si>
    <t xml:space="preserve">Riaan Steyn</t>
  </si>
  <si>
    <t xml:space="preserve">Mary Adams</t>
  </si>
  <si>
    <t xml:space="preserve">Sipho Ndlovu</t>
  </si>
  <si>
    <t xml:space="preserve">Hendrik Visser</t>
  </si>
  <si>
    <t xml:space="preserve">Karen Joubert</t>
  </si>
  <si>
    <t xml:space="preserve">Field</t>
  </si>
  <si>
    <t xml:space="preserve">Values</t>
  </si>
  <si>
    <t xml:space="preserve">prone_50m, fclass_open, fclass_tr, three_position_50m</t>
  </si>
  <si>
    <t xml:space="preserve">open, junior, veteran, ladies</t>
  </si>
  <si>
    <t xml:space="preserve">official, provisional</t>
  </si>
  <si>
    <t xml:space="preserve">Clubs</t>
  </si>
  <si>
    <t xml:space="preserve">Modderbee, SATRF Club, Pretoria RC, Bloem Marksmen, Cape Rifle Club</t>
  </si>
  <si>
    <t xml:space="preserve">TotalDec</t>
  </si>
  <si>
    <t xml:space="preserve">TotalInt</t>
  </si>
  <si>
    <t xml:space="preserve">Year</t>
  </si>
  <si>
    <t xml:space="preserve">Valid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</si>
</sst>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yyyy\-mm\-dd"/>
    <numFmt numFmtId="168" formatCode="0"/>
  </numFmts>
  <fonts count="3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9"/>
      <color rgb="FF54823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548235"/>
      <name val="Arial"/>
      <family val="0"/>
      <charset val="1"/>
    </font>
    <font>
      <b val="true"/>
      <sz val="18"/>
      <color rgb="FFBF8F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14492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i val="true"/>
      <sz val="10"/>
      <color theme="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4492F"/>
      </patternFill>
    </fill>
    <fill>
      <patternFill patternType="solid">
        <fgColor rgb="FF2E5496"/>
        <bgColor rgb="FF2F5F5F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C99A3B"/>
      </patternFill>
    </fill>
    <fill>
      <patternFill patternType="solid">
        <fgColor rgb="FFE2EFDA"/>
        <bgColor rgb="FFE8ECE9"/>
      </patternFill>
    </fill>
    <fill>
      <patternFill patternType="solid">
        <fgColor rgb="FF2F5F5F"/>
        <bgColor rgb="FF2E5496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8ECE9"/>
      </patternFill>
    </fill>
    <fill>
      <patternFill patternType="solid">
        <fgColor rgb="FFEDEDED"/>
        <bgColor rgb="FFE8ECE9"/>
      </patternFill>
    </fill>
    <fill>
      <patternFill patternType="solid">
        <fgColor rgb="FF14492F"/>
        <bgColor rgb="FF1F3864"/>
      </patternFill>
    </fill>
    <fill>
      <patternFill patternType="solid">
        <fgColor rgb="FFC99A3B"/>
        <bgColor rgb="FFBF8F00"/>
      </patternFill>
    </fill>
    <fill>
      <patternFill patternType="solid">
        <fgColor rgb="FFE8ECE9"/>
        <bgColor rgb="FFEDEDE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medium">
        <color rgb="FFBF8F00"/>
      </left>
      <right style="medium">
        <color rgb="FFBF8F00"/>
      </right>
      <top style="medium">
        <color rgb="FFBF8F00"/>
      </top>
      <bottom style="medium">
        <color rgb="FFBF8F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4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4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4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2F5F5F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E1F2"/>
      <rgbColor rgb="FFE8ECE9"/>
      <rgbColor rgb="FFEDEDED"/>
      <rgbColor rgb="FFFCE4D6"/>
      <rgbColor rgb="FF3366FF"/>
      <rgbColor rgb="FF33CCCC"/>
      <rgbColor rgb="FF99CC00"/>
      <rgbColor rgb="FFFFCC00"/>
      <rgbColor rgb="FFC99A3B"/>
      <rgbColor rgb="FFBF8F00"/>
      <rgbColor rgb="FF595959"/>
      <rgbColor rgb="FF969696"/>
      <rgbColor rgb="FF1F3864"/>
      <rgbColor rgb="FF548235"/>
      <rgbColor rgb="FF003300"/>
      <rgbColor rgb="FF555555"/>
      <rgbColor rgb="FF993300"/>
      <rgbColor rgb="FF993366"/>
      <rgbColor rgb="FF2E5496"/>
      <rgbColor rgb="FF1449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5"/>
    <col collapsed="false" customWidth="true" hidden="false" outlineLevel="0" max="26" min="3" style="1" width="8.71"/>
  </cols>
  <sheetData>
    <row r="1" customFormat="false" ht="24" hidden="false" customHeight="true" outlineLevel="0" collapsed="false">
      <c r="A1" s="2" t="s">
        <v>0</v>
      </c>
      <c r="B1" s="2"/>
    </row>
    <row r="2" customFormat="false" ht="15" hidden="false" customHeight="true" outlineLevel="0" collapsed="false"/>
    <row r="3" customFormat="false" ht="27.75" hidden="false" customHeight="true" outlineLevel="0" collapsed="false">
      <c r="A3" s="3" t="s">
        <v>1</v>
      </c>
      <c r="B3" s="4" t="s">
        <v>2</v>
      </c>
    </row>
    <row r="4" customFormat="false" ht="27.75" hidden="false" customHeight="true" outlineLevel="0" collapsed="false">
      <c r="A4" s="3" t="s">
        <v>3</v>
      </c>
      <c r="B4" s="4" t="s">
        <v>4</v>
      </c>
    </row>
    <row r="5" customFormat="false" ht="27.75" hidden="false" customHeight="true" outlineLevel="0" collapsed="false">
      <c r="A5" s="3" t="s">
        <v>5</v>
      </c>
      <c r="B5" s="4" t="s">
        <v>6</v>
      </c>
    </row>
    <row r="6" customFormat="false" ht="27.75" hidden="false" customHeight="true" outlineLevel="0" collapsed="false">
      <c r="A6" s="3" t="s">
        <v>7</v>
      </c>
      <c r="B6" s="4" t="s">
        <v>8</v>
      </c>
    </row>
    <row r="7" customFormat="false" ht="27.75" hidden="false" customHeight="true" outlineLevel="0" collapsed="false">
      <c r="A7" s="3" t="s">
        <v>9</v>
      </c>
      <c r="B7" s="4" t="s">
        <v>10</v>
      </c>
    </row>
    <row r="8" customFormat="false" ht="27.75" hidden="false" customHeight="true" outlineLevel="0" collapsed="false">
      <c r="A8" s="3" t="s">
        <v>11</v>
      </c>
      <c r="B8" s="4" t="s">
        <v>12</v>
      </c>
    </row>
    <row r="9" customFormat="false" ht="27.75" hidden="false" customHeight="true" outlineLevel="0" collapsed="false">
      <c r="A9" s="3" t="s">
        <v>13</v>
      </c>
      <c r="B9" s="4" t="s">
        <v>14</v>
      </c>
    </row>
    <row r="10" customFormat="false" ht="27.75" hidden="false" customHeight="true" outlineLevel="0" collapsed="false">
      <c r="A10" s="3" t="s">
        <v>15</v>
      </c>
      <c r="B10" s="4" t="s">
        <v>16</v>
      </c>
    </row>
    <row r="11" customFormat="false" ht="27.75" hidden="false" customHeight="true" outlineLevel="0" collapsed="false">
      <c r="A11" s="3" t="s">
        <v>17</v>
      </c>
      <c r="B11" s="4" t="s">
        <v>18</v>
      </c>
    </row>
    <row r="12" customFormat="false" ht="27.75" hidden="false" customHeight="true" outlineLevel="0" collapsed="false">
      <c r="A12" s="3" t="s">
        <v>19</v>
      </c>
      <c r="B12" s="4" t="s">
        <v>20</v>
      </c>
    </row>
    <row r="13" customFormat="false" ht="27.75" hidden="false" customHeight="true" outlineLevel="0" collapsed="false">
      <c r="A13" s="3" t="s">
        <v>21</v>
      </c>
      <c r="B13" s="4" t="s">
        <v>22</v>
      </c>
    </row>
    <row r="14" customFormat="false" ht="27.75" hidden="false" customHeight="true" outlineLevel="0" collapsed="false">
      <c r="A14" s="3" t="s">
        <v>23</v>
      </c>
      <c r="B14" s="4" t="s">
        <v>24</v>
      </c>
    </row>
    <row r="15" customFormat="false" ht="27.75" hidden="false" customHeight="true" outlineLevel="0" collapsed="false">
      <c r="A15" s="3" t="s">
        <v>25</v>
      </c>
      <c r="B15" s="4" t="s">
        <v>26</v>
      </c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7" min="2" style="1" width="11"/>
    <col collapsed="false" customWidth="true" hidden="false" outlineLevel="0" max="8" min="8" style="1" width="3"/>
    <col collapsed="false" customWidth="true" hidden="false" outlineLevel="0" max="13" min="9" style="1" width="12"/>
    <col collapsed="false" customWidth="true" hidden="false" outlineLevel="0" max="14" min="14" style="1" width="3"/>
    <col collapsed="false" customWidth="true" hidden="false" outlineLevel="0" max="26" min="15" style="1" width="8.71"/>
  </cols>
  <sheetData>
    <row r="1" customFormat="false" ht="30" hidden="false" customHeight="true" outlineLevel="0" collapsed="false">
      <c r="B1" s="5" t="s">
        <v>27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5.75" hidden="false" customHeight="true" outlineLevel="0" collapsed="false">
      <c r="B2" s="6" t="s">
        <v>28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true" outlineLevel="0" collapsed="false"/>
    <row r="4" customFormat="false" ht="15.75" hidden="false" customHeight="true" outlineLevel="0" collapsed="false">
      <c r="B4" s="7" t="s">
        <v>29</v>
      </c>
      <c r="C4" s="7"/>
      <c r="D4" s="7"/>
      <c r="E4" s="7"/>
      <c r="F4" s="7"/>
      <c r="G4" s="7"/>
      <c r="I4" s="8" t="s">
        <v>30</v>
      </c>
      <c r="J4" s="8"/>
      <c r="K4" s="8"/>
      <c r="L4" s="8"/>
      <c r="M4" s="8"/>
      <c r="N4" s="8"/>
    </row>
    <row r="5" customFormat="false" ht="24" hidden="false" customHeight="true" outlineLevel="0" collapsed="false">
      <c r="B5" s="7"/>
      <c r="C5" s="7"/>
      <c r="D5" s="7"/>
      <c r="E5" s="7"/>
      <c r="F5" s="7"/>
      <c r="G5" s="7"/>
      <c r="I5" s="8"/>
      <c r="J5" s="8"/>
      <c r="K5" s="8"/>
      <c r="L5" s="8"/>
      <c r="M5" s="8"/>
      <c r="N5" s="8"/>
    </row>
    <row r="6" customFormat="false" ht="18" hidden="false" customHeight="true" outlineLevel="0" collapsed="false">
      <c r="D6" s="9" t="s">
        <v>31</v>
      </c>
    </row>
    <row r="7" customFormat="false" ht="15.75" hidden="false" customHeight="true" outlineLevel="0" collapsed="false">
      <c r="B7" s="10" t="s">
        <v>32</v>
      </c>
      <c r="C7" s="10"/>
      <c r="D7" s="10"/>
      <c r="E7" s="10"/>
      <c r="F7" s="10"/>
      <c r="G7" s="10"/>
      <c r="I7" s="8" t="s">
        <v>33</v>
      </c>
      <c r="J7" s="8"/>
      <c r="K7" s="8"/>
      <c r="L7" s="8"/>
      <c r="M7" s="8"/>
      <c r="N7" s="8"/>
    </row>
    <row r="8" customFormat="false" ht="33.75" hidden="false" customHeight="true" outlineLevel="0" collapsed="false">
      <c r="B8" s="10"/>
      <c r="C8" s="10"/>
      <c r="D8" s="10"/>
      <c r="E8" s="10"/>
      <c r="F8" s="10"/>
      <c r="G8" s="10"/>
      <c r="I8" s="8"/>
      <c r="J8" s="8"/>
      <c r="K8" s="8"/>
      <c r="L8" s="8"/>
      <c r="M8" s="8"/>
      <c r="N8" s="8"/>
    </row>
    <row r="9" customFormat="false" ht="18" hidden="false" customHeight="true" outlineLevel="0" collapsed="false">
      <c r="D9" s="9" t="s">
        <v>31</v>
      </c>
    </row>
    <row r="10" customFormat="false" ht="15.75" hidden="false" customHeight="true" outlineLevel="0" collapsed="false">
      <c r="B10" s="11" t="s">
        <v>34</v>
      </c>
      <c r="C10" s="11"/>
      <c r="D10" s="11"/>
      <c r="E10" s="11"/>
      <c r="F10" s="11"/>
      <c r="G10" s="11"/>
      <c r="I10" s="8" t="s">
        <v>35</v>
      </c>
      <c r="J10" s="8"/>
      <c r="K10" s="8"/>
      <c r="L10" s="8"/>
      <c r="M10" s="8"/>
      <c r="N10" s="8"/>
    </row>
    <row r="11" customFormat="false" ht="19.5" hidden="false" customHeight="true" outlineLevel="0" collapsed="false">
      <c r="B11" s="11"/>
      <c r="C11" s="11"/>
      <c r="D11" s="11"/>
      <c r="E11" s="11"/>
      <c r="F11" s="11"/>
      <c r="G11" s="11"/>
      <c r="I11" s="8"/>
      <c r="J11" s="8"/>
      <c r="K11" s="8"/>
      <c r="L11" s="8"/>
      <c r="M11" s="8"/>
      <c r="N11" s="8"/>
    </row>
    <row r="12" customFormat="false" ht="18" hidden="false" customHeight="true" outlineLevel="0" collapsed="false">
      <c r="B12" s="12" t="s">
        <v>36</v>
      </c>
      <c r="C12" s="12"/>
      <c r="F12" s="13" t="s">
        <v>37</v>
      </c>
      <c r="G12" s="13"/>
    </row>
    <row r="13" customFormat="false" ht="15.75" hidden="false" customHeight="true" outlineLevel="0" collapsed="false">
      <c r="B13" s="14" t="s">
        <v>38</v>
      </c>
      <c r="C13" s="14"/>
      <c r="D13" s="14"/>
      <c r="E13" s="15" t="s">
        <v>39</v>
      </c>
      <c r="F13" s="15"/>
      <c r="G13" s="15"/>
      <c r="I13" s="8" t="s">
        <v>40</v>
      </c>
      <c r="J13" s="8"/>
      <c r="K13" s="8"/>
      <c r="L13" s="8"/>
      <c r="M13" s="8"/>
      <c r="N13" s="8"/>
    </row>
    <row r="14" customFormat="false" ht="24" hidden="false" customHeight="true" outlineLevel="0" collapsed="false">
      <c r="B14" s="14"/>
      <c r="C14" s="14"/>
      <c r="D14" s="14"/>
      <c r="E14" s="15"/>
      <c r="F14" s="15"/>
      <c r="G14" s="15"/>
      <c r="I14" s="8"/>
      <c r="J14" s="8"/>
      <c r="K14" s="8"/>
      <c r="L14" s="8"/>
      <c r="M14" s="8"/>
      <c r="N14" s="8"/>
    </row>
    <row r="15" customFormat="false" ht="18" hidden="false" customHeight="true" outlineLevel="0" collapsed="false">
      <c r="C15" s="16" t="s">
        <v>31</v>
      </c>
      <c r="F15" s="17" t="s">
        <v>31</v>
      </c>
    </row>
    <row r="16" customFormat="false" ht="15.75" hidden="false" customHeight="true" outlineLevel="0" collapsed="false">
      <c r="B16" s="18" t="s">
        <v>41</v>
      </c>
      <c r="C16" s="18"/>
      <c r="D16" s="18"/>
      <c r="E16" s="18"/>
      <c r="F16" s="18"/>
      <c r="G16" s="18"/>
      <c r="I16" s="8" t="s">
        <v>42</v>
      </c>
      <c r="J16" s="8"/>
      <c r="K16" s="8"/>
      <c r="L16" s="8"/>
      <c r="M16" s="8"/>
      <c r="N16" s="8"/>
    </row>
    <row r="17" customFormat="false" ht="24" hidden="false" customHeight="true" outlineLevel="0" collapsed="false">
      <c r="B17" s="18"/>
      <c r="C17" s="18"/>
      <c r="D17" s="18"/>
      <c r="E17" s="18"/>
      <c r="F17" s="18"/>
      <c r="G17" s="18"/>
      <c r="I17" s="8"/>
      <c r="J17" s="8"/>
      <c r="K17" s="8"/>
      <c r="L17" s="8"/>
      <c r="M17" s="8"/>
      <c r="N17" s="8"/>
    </row>
    <row r="18" customFormat="false" ht="18" hidden="false" customHeight="true" outlineLevel="0" collapsed="false">
      <c r="D18" s="9" t="s">
        <v>31</v>
      </c>
    </row>
    <row r="19" customFormat="false" ht="15.75" hidden="false" customHeight="true" outlineLevel="0" collapsed="false">
      <c r="B19" s="19" t="s">
        <v>43</v>
      </c>
      <c r="C19" s="19"/>
      <c r="D19" s="19"/>
      <c r="E19" s="19"/>
      <c r="F19" s="19"/>
      <c r="G19" s="19"/>
      <c r="I19" s="8" t="s">
        <v>44</v>
      </c>
      <c r="J19" s="8"/>
      <c r="K19" s="8"/>
      <c r="L19" s="8"/>
      <c r="M19" s="8"/>
      <c r="N19" s="8"/>
    </row>
    <row r="20" customFormat="false" ht="24" hidden="false" customHeight="true" outlineLevel="0" collapsed="false">
      <c r="B20" s="19"/>
      <c r="C20" s="19"/>
      <c r="D20" s="19"/>
      <c r="E20" s="19"/>
      <c r="F20" s="19"/>
      <c r="G20" s="19"/>
      <c r="I20" s="8"/>
      <c r="J20" s="8"/>
      <c r="K20" s="8"/>
      <c r="L20" s="8"/>
      <c r="M20" s="8"/>
      <c r="N20" s="8"/>
    </row>
    <row r="21" customFormat="false" ht="15.75" hidden="false" customHeight="true" outlineLevel="0" collapsed="false"/>
    <row r="22" customFormat="false" ht="18" hidden="false" customHeight="true" outlineLevel="0" collapsed="false">
      <c r="B22" s="20" t="s">
        <v>45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customFormat="false" ht="18" hidden="false" customHeight="true" outlineLevel="0" collapsed="false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customFormat="false" ht="18" hidden="false" customHeight="true" outlineLevel="0" collapsed="false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customFormat="false" ht="15.75" hidden="false" customHeight="true" outlineLevel="0" collapsed="false"/>
    <row r="26" customFormat="false" ht="15" hidden="false" customHeight="true" outlineLevel="0" collapsed="false">
      <c r="B26" s="21" t="s">
        <v>46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customFormat="false" ht="15" hidden="false" customHeight="true" outlineLevel="0" collapsed="false">
      <c r="B27" s="22" t="s">
        <v>47</v>
      </c>
      <c r="C27" s="22"/>
      <c r="D27" s="23" t="s">
        <v>48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customFormat="false" ht="15" hidden="false" customHeight="true" outlineLevel="0" collapsed="false">
      <c r="B28" s="24" t="s">
        <v>47</v>
      </c>
      <c r="C28" s="24"/>
      <c r="D28" s="23" t="s">
        <v>49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customFormat="false" ht="15" hidden="false" customHeight="true" outlineLevel="0" collapsed="false">
      <c r="B29" s="25" t="s">
        <v>47</v>
      </c>
      <c r="C29" s="25"/>
      <c r="D29" s="23" t="s">
        <v>50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customFormat="false" ht="15" hidden="false" customHeight="true" outlineLevel="0" collapsed="false">
      <c r="B30" s="26" t="s">
        <v>47</v>
      </c>
      <c r="C30" s="26"/>
      <c r="D30" s="23" t="s">
        <v>51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customFormat="false" ht="15" hidden="false" customHeight="true" outlineLevel="0" collapsed="false">
      <c r="B31" s="27" t="s">
        <v>47</v>
      </c>
      <c r="C31" s="27"/>
      <c r="D31" s="23" t="s">
        <v>52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9">
    <mergeCell ref="B1:N1"/>
    <mergeCell ref="B2:N2"/>
    <mergeCell ref="B4:G5"/>
    <mergeCell ref="I4:N5"/>
    <mergeCell ref="B7:G8"/>
    <mergeCell ref="I7:N8"/>
    <mergeCell ref="B10:G11"/>
    <mergeCell ref="I10:N11"/>
    <mergeCell ref="B12:C12"/>
    <mergeCell ref="F12:G12"/>
    <mergeCell ref="B13:D14"/>
    <mergeCell ref="E13:G14"/>
    <mergeCell ref="I13:N14"/>
    <mergeCell ref="B16:G17"/>
    <mergeCell ref="I16:N17"/>
    <mergeCell ref="B19:G20"/>
    <mergeCell ref="I19:N20"/>
    <mergeCell ref="B22:N24"/>
    <mergeCell ref="B26:N26"/>
    <mergeCell ref="B27:C27"/>
    <mergeCell ref="D27:N27"/>
    <mergeCell ref="B28:C28"/>
    <mergeCell ref="D28:N28"/>
    <mergeCell ref="B29:C29"/>
    <mergeCell ref="D29:N29"/>
    <mergeCell ref="B30:C30"/>
    <mergeCell ref="D30:N30"/>
    <mergeCell ref="B31:C31"/>
    <mergeCell ref="D31:N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5"/>
    <col collapsed="false" customWidth="true" hidden="false" outlineLevel="0" max="26" min="6" style="1" width="8.71"/>
  </cols>
  <sheetData>
    <row r="1" customFormat="false" ht="24" hidden="false" customHeight="true" outlineLevel="0" collapsed="false">
      <c r="A1" s="28" t="s">
        <v>53</v>
      </c>
      <c r="B1" s="28"/>
      <c r="C1" s="28"/>
      <c r="D1" s="28"/>
      <c r="E1" s="28"/>
    </row>
    <row r="2" customFormat="false" ht="15" hidden="false" customHeight="true" outlineLevel="0" collapsed="false">
      <c r="A2" s="29" t="s">
        <v>54</v>
      </c>
      <c r="B2" s="29"/>
      <c r="C2" s="29"/>
      <c r="D2" s="29"/>
      <c r="E2" s="29"/>
    </row>
    <row r="3" customFormat="false" ht="15" hidden="false" customHeight="true" outlineLevel="0" collapsed="false"/>
    <row r="4" customFormat="false" ht="15" hidden="false" customHeight="true" outlineLevel="0" collapsed="false">
      <c r="A4" s="30" t="s">
        <v>55</v>
      </c>
      <c r="B4" s="30" t="s">
        <v>56</v>
      </c>
      <c r="C4" s="30" t="s">
        <v>57</v>
      </c>
      <c r="D4" s="30" t="s">
        <v>58</v>
      </c>
      <c r="E4" s="30" t="s">
        <v>59</v>
      </c>
    </row>
    <row r="5" customFormat="false" ht="15" hidden="false" customHeight="true" outlineLevel="0" collapsed="false">
      <c r="A5" s="31" t="s">
        <v>60</v>
      </c>
      <c r="B5" s="32" t="n">
        <f aca="false">COUNTIF('Prone 50m'!$D$2:$D$101,"&lt;&gt;")</f>
        <v>2</v>
      </c>
      <c r="C5" s="32" t="n">
        <f aca="false">COUNTIF('Prone 50m'!$Y$2:$Y$101,"OK to upload")</f>
        <v>2</v>
      </c>
      <c r="D5" s="33" t="n">
        <f aca="false">IFERROR(MAX('Prone 50m'!$S$2:$S$101),0)</f>
        <v>600.4</v>
      </c>
      <c r="E5" s="33" t="n">
        <f aca="false">IFERROR(AVERAGE('Prone 50m'!$S$2:$S$101),0)</f>
        <v>596.85</v>
      </c>
    </row>
    <row r="6" customFormat="false" ht="15" hidden="false" customHeight="true" outlineLevel="0" collapsed="false">
      <c r="A6" s="31" t="s">
        <v>61</v>
      </c>
      <c r="B6" s="32" t="n">
        <f aca="false">COUNTIF('F-Class'!$D$2:$D$101,"&lt;&gt;")</f>
        <v>1</v>
      </c>
      <c r="C6" s="32" t="n">
        <f aca="false">COUNTIF('F-Class'!$Y$2:$Y$101,"OK to upload")</f>
        <v>1</v>
      </c>
      <c r="D6" s="33" t="n">
        <f aca="false">IFERROR(MAX('F-Class'!$S$2:$S$101),0)</f>
        <v>591</v>
      </c>
      <c r="E6" s="33" t="n">
        <f aca="false">IFERROR(AVERAGE('F-Class'!$S$2:$S$101),0)</f>
        <v>591</v>
      </c>
    </row>
    <row r="7" customFormat="false" ht="15" hidden="false" customHeight="true" outlineLevel="0" collapsed="false">
      <c r="A7" s="31" t="s">
        <v>62</v>
      </c>
      <c r="B7" s="32" t="n">
        <f aca="false">COUNTIF('3-Position 50m'!$D$2:$D$101,"&lt;&gt;")</f>
        <v>2</v>
      </c>
      <c r="C7" s="32" t="n">
        <f aca="false">COUNTIF('3-Position 50m'!$S$2:$S$101,"OK to upload")</f>
        <v>0</v>
      </c>
      <c r="D7" s="33" t="n">
        <f aca="false">IFERROR(MAX('3-Position 50m'!$M$2:$M$101),0)</f>
        <v>626.9</v>
      </c>
      <c r="E7" s="33" t="n">
        <f aca="false">IFERROR(AVERAGE('3-Position 50m'!$M$2:$M$101),0)</f>
        <v>626.9</v>
      </c>
    </row>
    <row r="8" customFormat="false" ht="15" hidden="false" customHeight="true" outlineLevel="0" collapsed="false">
      <c r="A8" s="34" t="s">
        <v>63</v>
      </c>
      <c r="B8" s="35" t="n">
        <f aca="false">SUM(B5:B7)</f>
        <v>5</v>
      </c>
      <c r="C8" s="35" t="n">
        <f aca="false">SUM(C5:C7)</f>
        <v>3</v>
      </c>
      <c r="D8" s="36"/>
      <c r="E8" s="36"/>
    </row>
    <row r="9" customFormat="false" ht="15" hidden="false" customHeight="true" outlineLevel="0" collapsed="false"/>
    <row r="10" customFormat="false" ht="15" hidden="false" customHeight="true" outlineLevel="0" collapsed="false">
      <c r="A10" s="37" t="s">
        <v>64</v>
      </c>
    </row>
    <row r="11" customFormat="false" ht="15" hidden="false" customHeight="true" outlineLevel="0" collapsed="false">
      <c r="A11" s="30" t="s">
        <v>65</v>
      </c>
      <c r="B11" s="30" t="s">
        <v>66</v>
      </c>
    </row>
    <row r="12" customFormat="false" ht="15" hidden="false" customHeight="true" outlineLevel="0" collapsed="false">
      <c r="A12" s="31" t="s">
        <v>67</v>
      </c>
      <c r="B12" s="32" t="n">
        <f aca="false">COUNTIF('Prone 50m'!$F$2:$F$101,"open")+COUNTIF('F-Class'!$F$2:$F$101,"open")+COUNTIF('3-Position 50m'!$F$2:$F$101,"open")</f>
        <v>2</v>
      </c>
    </row>
    <row r="13" customFormat="false" ht="15" hidden="false" customHeight="true" outlineLevel="0" collapsed="false">
      <c r="A13" s="31" t="s">
        <v>68</v>
      </c>
      <c r="B13" s="32" t="n">
        <f aca="false">COUNTIF('Prone 50m'!$F$2:$F$101,"junior")+COUNTIF('F-Class'!$F$2:$F$101,"junior")+COUNTIF('3-Position 50m'!$F$2:$F$101,"junior")</f>
        <v>1</v>
      </c>
    </row>
    <row r="14" customFormat="false" ht="15" hidden="false" customHeight="true" outlineLevel="0" collapsed="false">
      <c r="A14" s="31" t="s">
        <v>69</v>
      </c>
      <c r="B14" s="32" t="n">
        <f aca="false">COUNTIF('Prone 50m'!$F$2:$F$101,"veteran")+COUNTIF('F-Class'!$F$2:$F$101,"veteran")+COUNTIF('3-Position 50m'!$F$2:$F$101,"veteran")</f>
        <v>0</v>
      </c>
    </row>
    <row r="15" customFormat="false" ht="15" hidden="false" customHeight="true" outlineLevel="0" collapsed="false">
      <c r="A15" s="31" t="s">
        <v>70</v>
      </c>
      <c r="B15" s="32" t="n">
        <f aca="false">COUNTIF('Prone 50m'!$F$2:$F$101,"ladies")+COUNTIF('F-Class'!$F$2:$F$101,"ladies")+COUNTIF('3-Position 50m'!$F$2:$F$101,"ladies")</f>
        <v>1</v>
      </c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28"/>
    <col collapsed="false" customWidth="true" hidden="false" outlineLevel="0" max="26" min="8" style="1" width="8.71"/>
  </cols>
  <sheetData>
    <row r="1" customFormat="false" ht="21.75" hidden="false" customHeight="true" outlineLevel="0" collapsed="false">
      <c r="A1" s="38" t="s">
        <v>71</v>
      </c>
      <c r="B1" s="38"/>
      <c r="C1" s="38"/>
      <c r="D1" s="38"/>
      <c r="E1" s="38"/>
      <c r="F1" s="38"/>
      <c r="G1" s="38"/>
    </row>
    <row r="2" customFormat="false" ht="15" hidden="false" customHeight="true" outlineLevel="0" collapsed="false">
      <c r="A2" s="29" t="s">
        <v>72</v>
      </c>
      <c r="B2" s="29"/>
      <c r="C2" s="29"/>
      <c r="D2" s="29"/>
      <c r="E2" s="29"/>
      <c r="F2" s="29"/>
      <c r="G2" s="29"/>
    </row>
    <row r="3" customFormat="false" ht="15" hidden="false" customHeight="true" outlineLevel="0" collapsed="false"/>
    <row r="4" customFormat="false" ht="15" hidden="false" customHeight="true" outlineLevel="0" collapsed="false">
      <c r="A4" s="39" t="s">
        <v>73</v>
      </c>
      <c r="B4" s="39" t="s">
        <v>74</v>
      </c>
      <c r="C4" s="39" t="s">
        <v>9</v>
      </c>
      <c r="D4" s="39" t="s">
        <v>55</v>
      </c>
      <c r="E4" s="39" t="s">
        <v>75</v>
      </c>
      <c r="F4" s="39" t="s">
        <v>76</v>
      </c>
      <c r="G4" s="39" t="s">
        <v>77</v>
      </c>
    </row>
    <row r="5" customFormat="false" ht="15" hidden="false" customHeight="true" outlineLevel="0" collapsed="false">
      <c r="A5" s="40" t="s">
        <v>78</v>
      </c>
      <c r="B5" s="40" t="s">
        <v>79</v>
      </c>
      <c r="C5" s="41" t="s">
        <v>80</v>
      </c>
      <c r="D5" s="40" t="s">
        <v>81</v>
      </c>
      <c r="E5" s="40" t="s">
        <v>82</v>
      </c>
      <c r="F5" s="40" t="n">
        <v>8</v>
      </c>
      <c r="G5" s="42" t="s">
        <v>83</v>
      </c>
    </row>
    <row r="6" customFormat="false" ht="15" hidden="false" customHeight="true" outlineLevel="0" collapsed="false">
      <c r="A6" s="40" t="s">
        <v>84</v>
      </c>
      <c r="B6" s="40" t="s">
        <v>85</v>
      </c>
      <c r="C6" s="41" t="s">
        <v>86</v>
      </c>
      <c r="D6" s="40" t="s">
        <v>87</v>
      </c>
      <c r="E6" s="40" t="s">
        <v>88</v>
      </c>
      <c r="F6" s="40" t="n">
        <v>6</v>
      </c>
      <c r="G6" s="42" t="s">
        <v>89</v>
      </c>
    </row>
    <row r="7" customFormat="false" ht="15" hidden="false" customHeight="true" outlineLevel="0" collapsed="false">
      <c r="A7" s="40"/>
      <c r="B7" s="40"/>
      <c r="C7" s="41"/>
      <c r="D7" s="40"/>
      <c r="E7" s="40"/>
      <c r="F7" s="40"/>
      <c r="G7" s="42"/>
    </row>
    <row r="8" customFormat="false" ht="15" hidden="false" customHeight="true" outlineLevel="0" collapsed="false">
      <c r="A8" s="40"/>
      <c r="B8" s="40"/>
      <c r="C8" s="41"/>
      <c r="D8" s="40"/>
      <c r="E8" s="40"/>
      <c r="F8" s="40"/>
      <c r="G8" s="42"/>
    </row>
    <row r="9" customFormat="false" ht="15" hidden="false" customHeight="true" outlineLevel="0" collapsed="false">
      <c r="A9" s="40"/>
      <c r="B9" s="40"/>
      <c r="C9" s="41"/>
      <c r="D9" s="40"/>
      <c r="E9" s="40"/>
      <c r="F9" s="40"/>
      <c r="G9" s="42"/>
    </row>
    <row r="10" customFormat="false" ht="15" hidden="false" customHeight="true" outlineLevel="0" collapsed="false">
      <c r="A10" s="40"/>
      <c r="B10" s="40"/>
      <c r="C10" s="41"/>
      <c r="D10" s="40"/>
      <c r="E10" s="40"/>
      <c r="F10" s="40"/>
      <c r="G10" s="42"/>
    </row>
    <row r="11" customFormat="false" ht="15" hidden="false" customHeight="true" outlineLevel="0" collapsed="false">
      <c r="A11" s="40"/>
      <c r="B11" s="40"/>
      <c r="C11" s="41"/>
      <c r="D11" s="40"/>
      <c r="E11" s="40"/>
      <c r="F11" s="40"/>
      <c r="G11" s="42"/>
    </row>
    <row r="12" customFormat="false" ht="15" hidden="false" customHeight="true" outlineLevel="0" collapsed="false">
      <c r="A12" s="40"/>
      <c r="B12" s="40"/>
      <c r="C12" s="41"/>
      <c r="D12" s="40"/>
      <c r="E12" s="40"/>
      <c r="F12" s="40"/>
      <c r="G12" s="42"/>
    </row>
    <row r="13" customFormat="false" ht="15" hidden="false" customHeight="true" outlineLevel="0" collapsed="false">
      <c r="A13" s="40"/>
      <c r="B13" s="40"/>
      <c r="C13" s="41"/>
      <c r="D13" s="40"/>
      <c r="E13" s="40"/>
      <c r="F13" s="40"/>
      <c r="G13" s="42"/>
    </row>
    <row r="14" customFormat="false" ht="15" hidden="false" customHeight="true" outlineLevel="0" collapsed="false">
      <c r="A14" s="40"/>
      <c r="B14" s="40"/>
      <c r="C14" s="41"/>
      <c r="D14" s="40"/>
      <c r="E14" s="40"/>
      <c r="F14" s="40"/>
      <c r="G14" s="42"/>
    </row>
    <row r="15" customFormat="false" ht="15" hidden="false" customHeight="true" outlineLevel="0" collapsed="false">
      <c r="A15" s="40"/>
      <c r="B15" s="40"/>
      <c r="C15" s="41"/>
      <c r="D15" s="40"/>
      <c r="E15" s="40"/>
      <c r="F15" s="40"/>
      <c r="G15" s="42"/>
    </row>
    <row r="16" customFormat="false" ht="15" hidden="false" customHeight="true" outlineLevel="0" collapsed="false">
      <c r="A16" s="40"/>
      <c r="B16" s="40"/>
      <c r="C16" s="41"/>
      <c r="D16" s="40"/>
      <c r="E16" s="40"/>
      <c r="F16" s="40"/>
      <c r="G16" s="42"/>
    </row>
    <row r="17" customFormat="false" ht="15" hidden="false" customHeight="true" outlineLevel="0" collapsed="false">
      <c r="A17" s="40"/>
      <c r="B17" s="40"/>
      <c r="C17" s="41"/>
      <c r="D17" s="40"/>
      <c r="E17" s="40"/>
      <c r="F17" s="40"/>
      <c r="G17" s="42"/>
    </row>
    <row r="18" customFormat="false" ht="15" hidden="false" customHeight="true" outlineLevel="0" collapsed="false">
      <c r="A18" s="40"/>
      <c r="B18" s="40"/>
      <c r="C18" s="41"/>
      <c r="D18" s="40"/>
      <c r="E18" s="40"/>
      <c r="F18" s="40"/>
      <c r="G18" s="42"/>
    </row>
    <row r="19" customFormat="false" ht="15" hidden="false" customHeight="true" outlineLevel="0" collapsed="false">
      <c r="A19" s="40"/>
      <c r="B19" s="40"/>
      <c r="C19" s="41"/>
      <c r="D19" s="40"/>
      <c r="E19" s="40"/>
      <c r="F19" s="40"/>
      <c r="G19" s="42"/>
    </row>
    <row r="20" customFormat="false" ht="15" hidden="false" customHeight="true" outlineLevel="0" collapsed="false">
      <c r="A20" s="40"/>
      <c r="B20" s="40"/>
      <c r="C20" s="41"/>
      <c r="D20" s="40"/>
      <c r="E20" s="40"/>
      <c r="F20" s="40"/>
      <c r="G20" s="42"/>
    </row>
    <row r="21" customFormat="false" ht="15" hidden="false" customHeight="true" outlineLevel="0" collapsed="false">
      <c r="A21" s="40"/>
      <c r="B21" s="40"/>
      <c r="C21" s="41"/>
      <c r="D21" s="40"/>
      <c r="E21" s="40"/>
      <c r="F21" s="40"/>
      <c r="G21" s="42"/>
    </row>
    <row r="22" customFormat="false" ht="15" hidden="false" customHeight="true" outlineLevel="0" collapsed="false">
      <c r="A22" s="40"/>
      <c r="B22" s="40"/>
      <c r="C22" s="41"/>
      <c r="D22" s="40"/>
      <c r="E22" s="40"/>
      <c r="F22" s="40"/>
      <c r="G22" s="42"/>
    </row>
    <row r="23" customFormat="false" ht="15" hidden="false" customHeight="true" outlineLevel="0" collapsed="false">
      <c r="A23" s="40"/>
      <c r="B23" s="40"/>
      <c r="C23" s="41"/>
      <c r="D23" s="40"/>
      <c r="E23" s="40"/>
      <c r="F23" s="40"/>
      <c r="G23" s="42"/>
    </row>
    <row r="24" customFormat="false" ht="15" hidden="false" customHeight="true" outlineLevel="0" collapsed="false">
      <c r="A24" s="40"/>
      <c r="B24" s="40"/>
      <c r="C24" s="41"/>
      <c r="D24" s="40"/>
      <c r="E24" s="40"/>
      <c r="F24" s="40"/>
      <c r="G24" s="42"/>
    </row>
    <row r="25" customFormat="false" ht="15" hidden="false" customHeight="true" outlineLevel="0" collapsed="false">
      <c r="A25" s="40"/>
      <c r="B25" s="40"/>
      <c r="C25" s="41"/>
      <c r="D25" s="40"/>
      <c r="E25" s="40"/>
      <c r="F25" s="40"/>
      <c r="G25" s="42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G1"/>
    <mergeCell ref="A2:G2"/>
  </mergeCells>
  <dataValidations count="3">
    <dataValidation allowBlank="true" errorStyle="stop" operator="between" showDropDown="false" showErrorMessage="false" showInputMessage="false" sqref="F5:F25" type="decimal">
      <formula1>2</formula1>
      <formula2>8</formula2>
    </dataValidation>
    <dataValidation allowBlank="true" errorStyle="stop" operator="between" showDropDown="false" showErrorMessage="false" showInputMessage="false" sqref="D5:D25" type="list">
      <formula1>"prone_50m,fclass_open,fclass_tr,three_position_50m"</formula1>
      <formula2>0</formula2>
    </dataValidation>
    <dataValidation allowBlank="true" errorStyle="stop" operator="between" showDropDown="false" showErrorMessage="false" showInputMessage="false" sqref="E5:E2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18" min="7" style="1" width="8"/>
    <col collapsed="false" customWidth="true" hidden="false" outlineLevel="0" max="20" min="19" style="1" width="11"/>
    <col collapsed="false" customWidth="true" hidden="false" outlineLevel="0" max="21" min="21" style="1" width="12"/>
    <col collapsed="false" customWidth="true" hidden="false" outlineLevel="0" max="22" min="22" style="1" width="28"/>
    <col collapsed="false" customWidth="true" hidden="false" outlineLevel="0" max="24" min="23" style="1" width="8.71"/>
    <col collapsed="false" customWidth="true" hidden="false" outlineLevel="0" max="25" min="25" style="1" width="26"/>
    <col collapsed="false" customWidth="true" hidden="false" outlineLevel="0" max="26" min="26" style="1" width="8.71"/>
  </cols>
  <sheetData>
    <row r="1" customFormat="false" ht="30" hidden="false" customHeight="true" outlineLevel="0" collapsed="false">
      <c r="A1" s="39" t="s">
        <v>90</v>
      </c>
      <c r="B1" s="39" t="s">
        <v>91</v>
      </c>
      <c r="C1" s="39" t="s">
        <v>55</v>
      </c>
      <c r="D1" s="39" t="s">
        <v>92</v>
      </c>
      <c r="E1" s="39" t="s">
        <v>93</v>
      </c>
      <c r="F1" s="39" t="s">
        <v>65</v>
      </c>
      <c r="G1" s="39" t="s">
        <v>94</v>
      </c>
      <c r="H1" s="39" t="s">
        <v>95</v>
      </c>
      <c r="I1" s="39" t="s">
        <v>96</v>
      </c>
      <c r="J1" s="39" t="s">
        <v>97</v>
      </c>
      <c r="K1" s="39" t="s">
        <v>98</v>
      </c>
      <c r="L1" s="39" t="s">
        <v>99</v>
      </c>
      <c r="M1" s="39" t="s">
        <v>100</v>
      </c>
      <c r="N1" s="39" t="s">
        <v>101</v>
      </c>
      <c r="O1" s="39" t="s">
        <v>102</v>
      </c>
      <c r="P1" s="39" t="s">
        <v>103</v>
      </c>
      <c r="Q1" s="39" t="s">
        <v>104</v>
      </c>
      <c r="R1" s="39" t="s">
        <v>105</v>
      </c>
      <c r="S1" s="39" t="s">
        <v>106</v>
      </c>
      <c r="T1" s="39" t="s">
        <v>107</v>
      </c>
      <c r="U1" s="39" t="s">
        <v>23</v>
      </c>
      <c r="V1" s="39" t="s">
        <v>77</v>
      </c>
      <c r="X1" s="43"/>
      <c r="Y1" s="39" t="s">
        <v>108</v>
      </c>
    </row>
    <row r="2" customFormat="false" ht="15" hidden="false" customHeight="true" outlineLevel="0" collapsed="false">
      <c r="A2" s="41" t="s">
        <v>80</v>
      </c>
      <c r="B2" s="40" t="s">
        <v>109</v>
      </c>
      <c r="C2" s="40" t="s">
        <v>81</v>
      </c>
      <c r="D2" s="40" t="s">
        <v>110</v>
      </c>
      <c r="E2" s="44" t="str">
        <f aca="false">IFERROR(IF(D2="","",VLOOKUP(D2,Members!$A$2:$C$16,2,FALSE())),"")</f>
        <v>Modderbee</v>
      </c>
      <c r="F2" s="44" t="str">
        <f aca="false">IFERROR(IF(D2="","",VLOOKUP(D2,Members!$A$2:$C$16,3,FALSE())),"")</f>
        <v>open</v>
      </c>
      <c r="G2" s="45" t="n">
        <v>100.7</v>
      </c>
      <c r="H2" s="45" t="n">
        <v>101.6</v>
      </c>
      <c r="I2" s="45" t="n">
        <v>97.4</v>
      </c>
      <c r="J2" s="45" t="n">
        <v>100.7</v>
      </c>
      <c r="K2" s="45" t="n">
        <v>99.3</v>
      </c>
      <c r="L2" s="45" t="n">
        <v>100.7</v>
      </c>
      <c r="M2" s="46" t="n">
        <v>95</v>
      </c>
      <c r="N2" s="46" t="n">
        <v>95</v>
      </c>
      <c r="O2" s="46" t="n">
        <v>93</v>
      </c>
      <c r="P2" s="46" t="n">
        <v>95</v>
      </c>
      <c r="Q2" s="46" t="n">
        <v>94</v>
      </c>
      <c r="R2" s="46" t="n">
        <v>95</v>
      </c>
      <c r="S2" s="47" t="n">
        <f aca="false">IF(COUNT(G2:L2)=0,"",SUM(G2:L2))</f>
        <v>600.4</v>
      </c>
      <c r="T2" s="48" t="n">
        <f aca="false">IF(COUNT(M2:R2)=0,"",SUM(M2:R2))</f>
        <v>567</v>
      </c>
      <c r="U2" s="40" t="s">
        <v>111</v>
      </c>
      <c r="V2" s="42" t="s">
        <v>112</v>
      </c>
      <c r="Y2" s="49" t="str">
        <f aca="false">IF(AND(A2="",B2="",D2="",COUNT(G2:L2)=0),"",IF(D2="","Missing shooter",IF(A2="","Missing date",IF(B2="","Missing event",IF(E2="","Club not in roster (type manually)",IF(COUNT(G2:L2)=0,"No scores entered",IF(U2="","Set status (official/provisional)",IF(COUNTIFS($A$2:$A$101,A2,$B$2:$B$101,B2,$D$2:$D$101,D2)&gt;1,"Duplicate entry","OK to upload"))))))))</f>
        <v>OK to upload</v>
      </c>
    </row>
    <row r="3" customFormat="false" ht="15" hidden="false" customHeight="true" outlineLevel="0" collapsed="false">
      <c r="A3" s="41" t="s">
        <v>113</v>
      </c>
      <c r="B3" s="40" t="s">
        <v>114</v>
      </c>
      <c r="C3" s="40" t="s">
        <v>81</v>
      </c>
      <c r="D3" s="40" t="s">
        <v>115</v>
      </c>
      <c r="E3" s="44" t="str">
        <f aca="false">IFERROR(IF(D3="","",VLOOKUP(D3,Members!$A$2:$C$16,2,FALSE())),"")</f>
        <v>SATRF Club</v>
      </c>
      <c r="F3" s="44" t="str">
        <f aca="false">IFERROR(IF(D3="","",VLOOKUP(D3,Members!$A$2:$C$16,3,FALSE())),"")</f>
        <v>ladies</v>
      </c>
      <c r="G3" s="45" t="n">
        <v>98.5</v>
      </c>
      <c r="H3" s="45" t="n">
        <v>99.1</v>
      </c>
      <c r="I3" s="45" t="n">
        <v>97.8</v>
      </c>
      <c r="J3" s="45" t="n">
        <v>100.2</v>
      </c>
      <c r="K3" s="45" t="n">
        <v>99</v>
      </c>
      <c r="L3" s="45" t="n">
        <v>98.7</v>
      </c>
      <c r="M3" s="46"/>
      <c r="N3" s="46"/>
      <c r="O3" s="46"/>
      <c r="P3" s="46"/>
      <c r="Q3" s="46"/>
      <c r="R3" s="46"/>
      <c r="S3" s="47" t="n">
        <f aca="false">IF(COUNT(G3:L3)=0,"",SUM(G3:L3))</f>
        <v>593.3</v>
      </c>
      <c r="T3" s="48" t="str">
        <f aca="false">IF(COUNT(M3:R3)=0,"",SUM(M3:R3))</f>
        <v/>
      </c>
      <c r="U3" s="40" t="s">
        <v>111</v>
      </c>
      <c r="V3" s="42"/>
      <c r="Y3" s="49" t="str">
        <f aca="false">IF(AND(A3="",B3="",D3="",COUNT(G3:L3)=0),"",IF(D3="","Missing shooter",IF(A3="","Missing date",IF(B3="","Missing event",IF(E3="","Club not in roster (type manually)",IF(COUNT(G3:L3)=0,"No scores entered",IF(U3="","Set status (official/provisional)",IF(COUNTIFS($A$2:$A$101,A3,$B$2:$B$101,B3,$D$2:$D$101,D3)&gt;1,"Duplicate entry","OK to upload"))))))))</f>
        <v>OK to upload</v>
      </c>
    </row>
    <row r="4" customFormat="false" ht="15" hidden="false" customHeight="true" outlineLevel="0" collapsed="false">
      <c r="A4" s="41"/>
      <c r="B4" s="40"/>
      <c r="C4" s="40"/>
      <c r="D4" s="40"/>
      <c r="E4" s="44" t="str">
        <f aca="false">IFERROR(IF(D4="","",VLOOKUP(D4,Members!$A$2:$C$16,2,FALSE())),"")</f>
        <v/>
      </c>
      <c r="F4" s="44" t="str">
        <f aca="false">IFERROR(IF(D4="","",VLOOKUP(D4,Members!$A$2:$C$16,3,FALSE())),"")</f>
        <v/>
      </c>
      <c r="G4" s="45"/>
      <c r="H4" s="45"/>
      <c r="I4" s="45"/>
      <c r="J4" s="45"/>
      <c r="K4" s="45"/>
      <c r="L4" s="45"/>
      <c r="M4" s="46"/>
      <c r="N4" s="46"/>
      <c r="O4" s="46"/>
      <c r="P4" s="46"/>
      <c r="Q4" s="46"/>
      <c r="R4" s="46"/>
      <c r="S4" s="47" t="str">
        <f aca="false">IF(COUNT(G4:L4)=0,"",SUM(G4:L4))</f>
        <v/>
      </c>
      <c r="T4" s="48" t="str">
        <f aca="false">IF(COUNT(M4:R4)=0,"",SUM(M4:R4))</f>
        <v/>
      </c>
      <c r="U4" s="40"/>
      <c r="V4" s="42"/>
      <c r="Y4" s="49" t="str">
        <f aca="false">IF(AND(A4="",B4="",D4="",COUNT(G4:L4)=0),"",IF(D4="","Missing shooter",IF(A4="","Missing date",IF(B4="","Missing event",IF(E4="","Club not in roster (type manually)",IF(COUNT(G4:L4)=0,"No scores entered",IF(U4="","Set status (official/provisional)",IF(COUNTIFS($A$2:$A$101,A4,$B$2:$B$101,B4,$D$2:$D$101,D4)&gt;1,"Duplicate entry","OK to upload"))))))))</f>
        <v/>
      </c>
    </row>
    <row r="5" customFormat="false" ht="15" hidden="false" customHeight="true" outlineLevel="0" collapsed="false">
      <c r="A5" s="41"/>
      <c r="B5" s="40"/>
      <c r="C5" s="40"/>
      <c r="D5" s="40"/>
      <c r="E5" s="44" t="str">
        <f aca="false">IFERROR(IF(D5="","",VLOOKUP(D5,Members!$A$2:$C$16,2,FALSE())),"")</f>
        <v/>
      </c>
      <c r="F5" s="44" t="str">
        <f aca="false">IFERROR(IF(D5="","",VLOOKUP(D5,Members!$A$2:$C$16,3,FALSE())),"")</f>
        <v/>
      </c>
      <c r="G5" s="45"/>
      <c r="H5" s="45"/>
      <c r="I5" s="45"/>
      <c r="J5" s="45"/>
      <c r="K5" s="45"/>
      <c r="L5" s="45"/>
      <c r="M5" s="46"/>
      <c r="N5" s="46"/>
      <c r="O5" s="46"/>
      <c r="P5" s="46"/>
      <c r="Q5" s="46"/>
      <c r="R5" s="46"/>
      <c r="S5" s="47" t="str">
        <f aca="false">IF(COUNT(G5:L5)=0,"",SUM(G5:L5))</f>
        <v/>
      </c>
      <c r="T5" s="48" t="str">
        <f aca="false">IF(COUNT(M5:R5)=0,"",SUM(M5:R5))</f>
        <v/>
      </c>
      <c r="U5" s="40"/>
      <c r="V5" s="42"/>
      <c r="Y5" s="49" t="str">
        <f aca="false">IF(AND(A5="",B5="",D5="",COUNT(G5:L5)=0),"",IF(D5="","Missing shooter",IF(A5="","Missing date",IF(B5="","Missing event",IF(E5="","Club not in roster (type manually)",IF(COUNT(G5:L5)=0,"No scores entered",IF(U5="","Set status (official/provisional)",IF(COUNTIFS($A$2:$A$101,A5,$B$2:$B$101,B5,$D$2:$D$101,D5)&gt;1,"Duplicate entry","OK to upload"))))))))</f>
        <v/>
      </c>
    </row>
    <row r="6" customFormat="false" ht="15" hidden="false" customHeight="true" outlineLevel="0" collapsed="false">
      <c r="A6" s="41"/>
      <c r="B6" s="40"/>
      <c r="C6" s="40"/>
      <c r="D6" s="40"/>
      <c r="E6" s="44" t="str">
        <f aca="false">IFERROR(IF(D6="","",VLOOKUP(D6,Members!$A$2:$C$16,2,FALSE())),"")</f>
        <v/>
      </c>
      <c r="F6" s="44" t="str">
        <f aca="false">IFERROR(IF(D6="","",VLOOKUP(D6,Members!$A$2:$C$16,3,FALSE())),"")</f>
        <v/>
      </c>
      <c r="G6" s="45"/>
      <c r="H6" s="45"/>
      <c r="I6" s="45"/>
      <c r="J6" s="45"/>
      <c r="K6" s="45"/>
      <c r="L6" s="45"/>
      <c r="M6" s="46"/>
      <c r="N6" s="46"/>
      <c r="O6" s="46"/>
      <c r="P6" s="46"/>
      <c r="Q6" s="46"/>
      <c r="R6" s="46"/>
      <c r="S6" s="47" t="str">
        <f aca="false">IF(COUNT(G6:L6)=0,"",SUM(G6:L6))</f>
        <v/>
      </c>
      <c r="T6" s="48" t="str">
        <f aca="false">IF(COUNT(M6:R6)=0,"",SUM(M6:R6))</f>
        <v/>
      </c>
      <c r="U6" s="40"/>
      <c r="V6" s="42"/>
      <c r="Y6" s="49" t="str">
        <f aca="false">IF(AND(A6="",B6="",D6="",COUNT(G6:L6)=0),"",IF(D6="","Missing shooter",IF(A6="","Missing date",IF(B6="","Missing event",IF(E6="","Club not in roster (type manually)",IF(COUNT(G6:L6)=0,"No scores entered",IF(U6="","Set status (official/provisional)",IF(COUNTIFS($A$2:$A$101,A6,$B$2:$B$101,B6,$D$2:$D$101,D6)&gt;1,"Duplicate entry","OK to upload"))))))))</f>
        <v/>
      </c>
    </row>
    <row r="7" customFormat="false" ht="15" hidden="false" customHeight="true" outlineLevel="0" collapsed="false">
      <c r="A7" s="41"/>
      <c r="B7" s="40"/>
      <c r="C7" s="40"/>
      <c r="D7" s="40"/>
      <c r="E7" s="44" t="str">
        <f aca="false">IFERROR(IF(D7="","",VLOOKUP(D7,Members!$A$2:$C$16,2,FALSE())),"")</f>
        <v/>
      </c>
      <c r="F7" s="44" t="str">
        <f aca="false">IFERROR(IF(D7="","",VLOOKUP(D7,Members!$A$2:$C$16,3,FALSE())),"")</f>
        <v/>
      </c>
      <c r="G7" s="45"/>
      <c r="H7" s="45"/>
      <c r="I7" s="45"/>
      <c r="J7" s="45"/>
      <c r="K7" s="45"/>
      <c r="L7" s="45"/>
      <c r="M7" s="46"/>
      <c r="N7" s="46"/>
      <c r="O7" s="46"/>
      <c r="P7" s="46"/>
      <c r="Q7" s="46"/>
      <c r="R7" s="46"/>
      <c r="S7" s="47" t="str">
        <f aca="false">IF(COUNT(G7:L7)=0,"",SUM(G7:L7))</f>
        <v/>
      </c>
      <c r="T7" s="48" t="str">
        <f aca="false">IF(COUNT(M7:R7)=0,"",SUM(M7:R7))</f>
        <v/>
      </c>
      <c r="U7" s="40"/>
      <c r="V7" s="42"/>
      <c r="Y7" s="49" t="str">
        <f aca="false">IF(AND(A7="",B7="",D7="",COUNT(G7:L7)=0),"",IF(D7="","Missing shooter",IF(A7="","Missing date",IF(B7="","Missing event",IF(E7="","Club not in roster (type manually)",IF(COUNT(G7:L7)=0,"No scores entered",IF(U7="","Set status (official/provisional)",IF(COUNTIFS($A$2:$A$101,A7,$B$2:$B$101,B7,$D$2:$D$101,D7)&gt;1,"Duplicate entry","OK to upload"))))))))</f>
        <v/>
      </c>
    </row>
    <row r="8" customFormat="false" ht="15" hidden="false" customHeight="true" outlineLevel="0" collapsed="false">
      <c r="A8" s="41"/>
      <c r="B8" s="40"/>
      <c r="C8" s="40"/>
      <c r="D8" s="40"/>
      <c r="E8" s="44" t="str">
        <f aca="false">IFERROR(IF(D8="","",VLOOKUP(D8,Members!$A$2:$C$16,2,FALSE())),"")</f>
        <v/>
      </c>
      <c r="F8" s="44" t="str">
        <f aca="false">IFERROR(IF(D8="","",VLOOKUP(D8,Members!$A$2:$C$16,3,FALSE())),"")</f>
        <v/>
      </c>
      <c r="G8" s="45"/>
      <c r="H8" s="45"/>
      <c r="I8" s="45"/>
      <c r="J8" s="45"/>
      <c r="K8" s="45"/>
      <c r="L8" s="45"/>
      <c r="M8" s="46"/>
      <c r="N8" s="46"/>
      <c r="O8" s="46"/>
      <c r="P8" s="46"/>
      <c r="Q8" s="46"/>
      <c r="R8" s="46"/>
      <c r="S8" s="47" t="str">
        <f aca="false">IF(COUNT(G8:L8)=0,"",SUM(G8:L8))</f>
        <v/>
      </c>
      <c r="T8" s="48" t="str">
        <f aca="false">IF(COUNT(M8:R8)=0,"",SUM(M8:R8))</f>
        <v/>
      </c>
      <c r="U8" s="40"/>
      <c r="V8" s="42"/>
      <c r="Y8" s="49" t="str">
        <f aca="false">IF(AND(A8="",B8="",D8="",COUNT(G8:L8)=0),"",IF(D8="","Missing shooter",IF(A8="","Missing date",IF(B8="","Missing event",IF(E8="","Club not in roster (type manually)",IF(COUNT(G8:L8)=0,"No scores entered",IF(U8="","Set status (official/provisional)",IF(COUNTIFS($A$2:$A$101,A8,$B$2:$B$101,B8,$D$2:$D$101,D8)&gt;1,"Duplicate entry","OK to upload"))))))))</f>
        <v/>
      </c>
    </row>
    <row r="9" customFormat="false" ht="15" hidden="false" customHeight="true" outlineLevel="0" collapsed="false">
      <c r="A9" s="41"/>
      <c r="B9" s="40"/>
      <c r="C9" s="40"/>
      <c r="D9" s="40"/>
      <c r="E9" s="44" t="str">
        <f aca="false">IFERROR(IF(D9="","",VLOOKUP(D9,Members!$A$2:$C$16,2,FALSE())),"")</f>
        <v/>
      </c>
      <c r="F9" s="44" t="str">
        <f aca="false">IFERROR(IF(D9="","",VLOOKUP(D9,Members!$A$2:$C$16,3,FALSE())),"")</f>
        <v/>
      </c>
      <c r="G9" s="45"/>
      <c r="H9" s="45"/>
      <c r="I9" s="45"/>
      <c r="J9" s="45"/>
      <c r="K9" s="45"/>
      <c r="L9" s="45"/>
      <c r="M9" s="46"/>
      <c r="N9" s="46"/>
      <c r="O9" s="46"/>
      <c r="P9" s="46"/>
      <c r="Q9" s="46"/>
      <c r="R9" s="46"/>
      <c r="S9" s="47" t="str">
        <f aca="false">IF(COUNT(G9:L9)=0,"",SUM(G9:L9))</f>
        <v/>
      </c>
      <c r="T9" s="48" t="str">
        <f aca="false">IF(COUNT(M9:R9)=0,"",SUM(M9:R9))</f>
        <v/>
      </c>
      <c r="U9" s="40"/>
      <c r="V9" s="42"/>
      <c r="Y9" s="49" t="str">
        <f aca="false">IF(AND(A9="",B9="",D9="",COUNT(G9:L9)=0),"",IF(D9="","Missing shooter",IF(A9="","Missing date",IF(B9="","Missing event",IF(E9="","Club not in roster (type manually)",IF(COUNT(G9:L9)=0,"No scores entered",IF(U9="","Set status (official/provisional)",IF(COUNTIFS($A$2:$A$101,A9,$B$2:$B$101,B9,$D$2:$D$101,D9)&gt;1,"Duplicate entry","OK to upload"))))))))</f>
        <v/>
      </c>
    </row>
    <row r="10" customFormat="false" ht="15" hidden="false" customHeight="true" outlineLevel="0" collapsed="false">
      <c r="A10" s="41"/>
      <c r="B10" s="40"/>
      <c r="C10" s="40"/>
      <c r="D10" s="40"/>
      <c r="E10" s="44" t="str">
        <f aca="false">IFERROR(IF(D10="","",VLOOKUP(D10,Members!$A$2:$C$16,2,FALSE())),"")</f>
        <v/>
      </c>
      <c r="F10" s="44" t="str">
        <f aca="false">IFERROR(IF(D10="","",VLOOKUP(D10,Members!$A$2:$C$16,3,FALSE())),"")</f>
        <v/>
      </c>
      <c r="G10" s="45"/>
      <c r="H10" s="45"/>
      <c r="I10" s="45"/>
      <c r="J10" s="45"/>
      <c r="K10" s="45"/>
      <c r="L10" s="45"/>
      <c r="M10" s="46"/>
      <c r="N10" s="46"/>
      <c r="O10" s="46"/>
      <c r="P10" s="46"/>
      <c r="Q10" s="46"/>
      <c r="R10" s="46"/>
      <c r="S10" s="47" t="str">
        <f aca="false">IF(COUNT(G10:L10)=0,"",SUM(G10:L10))</f>
        <v/>
      </c>
      <c r="T10" s="48" t="str">
        <f aca="false">IF(COUNT(M10:R10)=0,"",SUM(M10:R10))</f>
        <v/>
      </c>
      <c r="U10" s="40"/>
      <c r="V10" s="42"/>
      <c r="Y10" s="49" t="str">
        <f aca="false">IF(AND(A10="",B10="",D10="",COUNT(G10:L10)=0),"",IF(D10="","Missing shooter",IF(A10="","Missing date",IF(B10="","Missing event",IF(E10="","Club not in roster (type manually)",IF(COUNT(G10:L10)=0,"No scores entered",IF(U10="","Set status (official/provisional)",IF(COUNTIFS($A$2:$A$101,A10,$B$2:$B$101,B10,$D$2:$D$101,D10)&gt;1,"Duplicate entry","OK to upload"))))))))</f>
        <v/>
      </c>
    </row>
    <row r="11" customFormat="false" ht="15" hidden="false" customHeight="true" outlineLevel="0" collapsed="false">
      <c r="A11" s="41"/>
      <c r="B11" s="40"/>
      <c r="C11" s="40"/>
      <c r="D11" s="40"/>
      <c r="E11" s="44" t="str">
        <f aca="false">IFERROR(IF(D11="","",VLOOKUP(D11,Members!$A$2:$C$16,2,FALSE())),"")</f>
        <v/>
      </c>
      <c r="F11" s="44" t="str">
        <f aca="false">IFERROR(IF(D11="","",VLOOKUP(D11,Members!$A$2:$C$16,3,FALSE())),"")</f>
        <v/>
      </c>
      <c r="G11" s="45"/>
      <c r="H11" s="45"/>
      <c r="I11" s="45"/>
      <c r="J11" s="45"/>
      <c r="K11" s="45"/>
      <c r="L11" s="45"/>
      <c r="M11" s="46"/>
      <c r="N11" s="46"/>
      <c r="O11" s="46"/>
      <c r="P11" s="46"/>
      <c r="Q11" s="46"/>
      <c r="R11" s="46"/>
      <c r="S11" s="47" t="str">
        <f aca="false">IF(COUNT(G11:L11)=0,"",SUM(G11:L11))</f>
        <v/>
      </c>
      <c r="T11" s="48" t="str">
        <f aca="false">IF(COUNT(M11:R11)=0,"",SUM(M11:R11))</f>
        <v/>
      </c>
      <c r="U11" s="40"/>
      <c r="V11" s="42"/>
      <c r="Y11" s="49" t="str">
        <f aca="false">IF(AND(A11="",B11="",D11="",COUNT(G11:L11)=0),"",IF(D11="","Missing shooter",IF(A11="","Missing date",IF(B11="","Missing event",IF(E11="","Club not in roster (type manually)",IF(COUNT(G11:L11)=0,"No scores entered",IF(U11="","Set status (official/provisional)",IF(COUNTIFS($A$2:$A$101,A11,$B$2:$B$101,B11,$D$2:$D$101,D11)&gt;1,"Duplicate entry","OK to upload"))))))))</f>
        <v/>
      </c>
    </row>
    <row r="12" customFormat="false" ht="15" hidden="false" customHeight="true" outlineLevel="0" collapsed="false">
      <c r="A12" s="41"/>
      <c r="B12" s="40"/>
      <c r="C12" s="40"/>
      <c r="D12" s="40"/>
      <c r="E12" s="44" t="str">
        <f aca="false">IFERROR(IF(D12="","",VLOOKUP(D12,Members!$A$2:$C$16,2,FALSE())),"")</f>
        <v/>
      </c>
      <c r="F12" s="44" t="str">
        <f aca="false">IFERROR(IF(D12="","",VLOOKUP(D12,Members!$A$2:$C$16,3,FALSE())),"")</f>
        <v/>
      </c>
      <c r="G12" s="45"/>
      <c r="H12" s="45"/>
      <c r="I12" s="45"/>
      <c r="J12" s="45"/>
      <c r="K12" s="45"/>
      <c r="L12" s="45"/>
      <c r="M12" s="46"/>
      <c r="N12" s="46"/>
      <c r="O12" s="46"/>
      <c r="P12" s="46"/>
      <c r="Q12" s="46"/>
      <c r="R12" s="46"/>
      <c r="S12" s="47" t="str">
        <f aca="false">IF(COUNT(G12:L12)=0,"",SUM(G12:L12))</f>
        <v/>
      </c>
      <c r="T12" s="48" t="str">
        <f aca="false">IF(COUNT(M12:R12)=0,"",SUM(M12:R12))</f>
        <v/>
      </c>
      <c r="U12" s="40"/>
      <c r="V12" s="42"/>
      <c r="Y12" s="49" t="str">
        <f aca="false">IF(AND(A12="",B12="",D12="",COUNT(G12:L12)=0),"",IF(D12="","Missing shooter",IF(A12="","Missing date",IF(B12="","Missing event",IF(E12="","Club not in roster (type manually)",IF(COUNT(G12:L12)=0,"No scores entered",IF(U12="","Set status (official/provisional)",IF(COUNTIFS($A$2:$A$101,A12,$B$2:$B$101,B12,$D$2:$D$101,D12)&gt;1,"Duplicate entry","OK to upload"))))))))</f>
        <v/>
      </c>
    </row>
    <row r="13" customFormat="false" ht="15" hidden="false" customHeight="true" outlineLevel="0" collapsed="false">
      <c r="A13" s="41"/>
      <c r="B13" s="40"/>
      <c r="C13" s="40"/>
      <c r="D13" s="40"/>
      <c r="E13" s="44" t="str">
        <f aca="false">IFERROR(IF(D13="","",VLOOKUP(D13,Members!$A$2:$C$16,2,FALSE())),"")</f>
        <v/>
      </c>
      <c r="F13" s="44" t="str">
        <f aca="false">IFERROR(IF(D13="","",VLOOKUP(D13,Members!$A$2:$C$16,3,FALSE())),"")</f>
        <v/>
      </c>
      <c r="G13" s="45"/>
      <c r="H13" s="45"/>
      <c r="I13" s="45"/>
      <c r="J13" s="45"/>
      <c r="K13" s="45"/>
      <c r="L13" s="45"/>
      <c r="M13" s="46"/>
      <c r="N13" s="46"/>
      <c r="O13" s="46"/>
      <c r="P13" s="46"/>
      <c r="Q13" s="46"/>
      <c r="R13" s="46"/>
      <c r="S13" s="47" t="str">
        <f aca="false">IF(COUNT(G13:L13)=0,"",SUM(G13:L13))</f>
        <v/>
      </c>
      <c r="T13" s="48" t="str">
        <f aca="false">IF(COUNT(M13:R13)=0,"",SUM(M13:R13))</f>
        <v/>
      </c>
      <c r="U13" s="40"/>
      <c r="V13" s="42"/>
      <c r="Y13" s="49" t="str">
        <f aca="false">IF(AND(A13="",B13="",D13="",COUNT(G13:L13)=0),"",IF(D13="","Missing shooter",IF(A13="","Missing date",IF(B13="","Missing event",IF(E13="","Club not in roster (type manually)",IF(COUNT(G13:L13)=0,"No scores entered",IF(U13="","Set status (official/provisional)",IF(COUNTIFS($A$2:$A$101,A13,$B$2:$B$101,B13,$D$2:$D$101,D13)&gt;1,"Duplicate entry","OK to upload"))))))))</f>
        <v/>
      </c>
    </row>
    <row r="14" customFormat="false" ht="15" hidden="false" customHeight="true" outlineLevel="0" collapsed="false">
      <c r="A14" s="41"/>
      <c r="B14" s="40"/>
      <c r="C14" s="40"/>
      <c r="D14" s="40"/>
      <c r="E14" s="44" t="str">
        <f aca="false">IFERROR(IF(D14="","",VLOOKUP(D14,Members!$A$2:$C$16,2,FALSE())),"")</f>
        <v/>
      </c>
      <c r="F14" s="44" t="str">
        <f aca="false">IFERROR(IF(D14="","",VLOOKUP(D14,Members!$A$2:$C$16,3,FALSE())),"")</f>
        <v/>
      </c>
      <c r="G14" s="45"/>
      <c r="H14" s="45"/>
      <c r="I14" s="45"/>
      <c r="J14" s="45"/>
      <c r="K14" s="45"/>
      <c r="L14" s="45"/>
      <c r="M14" s="46"/>
      <c r="N14" s="46"/>
      <c r="O14" s="46"/>
      <c r="P14" s="46"/>
      <c r="Q14" s="46"/>
      <c r="R14" s="46"/>
      <c r="S14" s="47" t="str">
        <f aca="false">IF(COUNT(G14:L14)=0,"",SUM(G14:L14))</f>
        <v/>
      </c>
      <c r="T14" s="48" t="str">
        <f aca="false">IF(COUNT(M14:R14)=0,"",SUM(M14:R14))</f>
        <v/>
      </c>
      <c r="U14" s="40"/>
      <c r="V14" s="42"/>
      <c r="Y14" s="49" t="str">
        <f aca="false">IF(AND(A14="",B14="",D14="",COUNT(G14:L14)=0),"",IF(D14="","Missing shooter",IF(A14="","Missing date",IF(B14="","Missing event",IF(E14="","Club not in roster (type manually)",IF(COUNT(G14:L14)=0,"No scores entered",IF(U14="","Set status (official/provisional)",IF(COUNTIFS($A$2:$A$101,A14,$B$2:$B$101,B14,$D$2:$D$101,D14)&gt;1,"Duplicate entry","OK to upload"))))))))</f>
        <v/>
      </c>
    </row>
    <row r="15" customFormat="false" ht="15" hidden="false" customHeight="true" outlineLevel="0" collapsed="false">
      <c r="A15" s="41"/>
      <c r="B15" s="40"/>
      <c r="C15" s="40"/>
      <c r="D15" s="40"/>
      <c r="E15" s="44" t="str">
        <f aca="false">IFERROR(IF(D15="","",VLOOKUP(D15,Members!$A$2:$C$16,2,FALSE())),"")</f>
        <v/>
      </c>
      <c r="F15" s="44" t="str">
        <f aca="false">IFERROR(IF(D15="","",VLOOKUP(D15,Members!$A$2:$C$16,3,FALSE())),"")</f>
        <v/>
      </c>
      <c r="G15" s="45"/>
      <c r="H15" s="45"/>
      <c r="I15" s="45"/>
      <c r="J15" s="45"/>
      <c r="K15" s="45"/>
      <c r="L15" s="45"/>
      <c r="M15" s="46"/>
      <c r="N15" s="46"/>
      <c r="O15" s="46"/>
      <c r="P15" s="46"/>
      <c r="Q15" s="46"/>
      <c r="R15" s="46"/>
      <c r="S15" s="47" t="str">
        <f aca="false">IF(COUNT(G15:L15)=0,"",SUM(G15:L15))</f>
        <v/>
      </c>
      <c r="T15" s="48" t="str">
        <f aca="false">IF(COUNT(M15:R15)=0,"",SUM(M15:R15))</f>
        <v/>
      </c>
      <c r="U15" s="40"/>
      <c r="V15" s="42"/>
      <c r="Y15" s="49" t="str">
        <f aca="false">IF(AND(A15="",B15="",D15="",COUNT(G15:L15)=0),"",IF(D15="","Missing shooter",IF(A15="","Missing date",IF(B15="","Missing event",IF(E15="","Club not in roster (type manually)",IF(COUNT(G15:L15)=0,"No scores entered",IF(U15="","Set status (official/provisional)",IF(COUNTIFS($A$2:$A$101,A15,$B$2:$B$101,B15,$D$2:$D$101,D15)&gt;1,"Duplicate entry","OK to upload"))))))))</f>
        <v/>
      </c>
    </row>
    <row r="16" customFormat="false" ht="15" hidden="false" customHeight="true" outlineLevel="0" collapsed="false">
      <c r="A16" s="41"/>
      <c r="B16" s="40"/>
      <c r="C16" s="40"/>
      <c r="D16" s="40"/>
      <c r="E16" s="44" t="str">
        <f aca="false">IFERROR(IF(D16="","",VLOOKUP(D16,Members!$A$2:$C$16,2,FALSE())),"")</f>
        <v/>
      </c>
      <c r="F16" s="44" t="str">
        <f aca="false">IFERROR(IF(D16="","",VLOOKUP(D16,Members!$A$2:$C$16,3,FALSE())),"")</f>
        <v/>
      </c>
      <c r="G16" s="45"/>
      <c r="H16" s="45"/>
      <c r="I16" s="45"/>
      <c r="J16" s="45"/>
      <c r="K16" s="45"/>
      <c r="L16" s="45"/>
      <c r="M16" s="46"/>
      <c r="N16" s="46"/>
      <c r="O16" s="46"/>
      <c r="P16" s="46"/>
      <c r="Q16" s="46"/>
      <c r="R16" s="46"/>
      <c r="S16" s="47" t="str">
        <f aca="false">IF(COUNT(G16:L16)=0,"",SUM(G16:L16))</f>
        <v/>
      </c>
      <c r="T16" s="48" t="str">
        <f aca="false">IF(COUNT(M16:R16)=0,"",SUM(M16:R16))</f>
        <v/>
      </c>
      <c r="U16" s="40"/>
      <c r="V16" s="42"/>
      <c r="Y16" s="49" t="str">
        <f aca="false">IF(AND(A16="",B16="",D16="",COUNT(G16:L16)=0),"",IF(D16="","Missing shooter",IF(A16="","Missing date",IF(B16="","Missing event",IF(E16="","Club not in roster (type manually)",IF(COUNT(G16:L16)=0,"No scores entered",IF(U16="","Set status (official/provisional)",IF(COUNTIFS($A$2:$A$101,A16,$B$2:$B$101,B16,$D$2:$D$101,D16)&gt;1,"Duplicate entry","OK to upload"))))))))</f>
        <v/>
      </c>
    </row>
    <row r="17" customFormat="false" ht="15" hidden="false" customHeight="true" outlineLevel="0" collapsed="false">
      <c r="A17" s="41"/>
      <c r="B17" s="40"/>
      <c r="C17" s="40"/>
      <c r="D17" s="40"/>
      <c r="E17" s="44" t="str">
        <f aca="false">IFERROR(IF(D17="","",VLOOKUP(D17,Members!$A$2:$C$16,2,FALSE())),"")</f>
        <v/>
      </c>
      <c r="F17" s="44" t="str">
        <f aca="false">IFERROR(IF(D17="","",VLOOKUP(D17,Members!$A$2:$C$16,3,FALSE())),"")</f>
        <v/>
      </c>
      <c r="G17" s="45"/>
      <c r="H17" s="45"/>
      <c r="I17" s="45"/>
      <c r="J17" s="45"/>
      <c r="K17" s="45"/>
      <c r="L17" s="45"/>
      <c r="M17" s="46"/>
      <c r="N17" s="46"/>
      <c r="O17" s="46"/>
      <c r="P17" s="46"/>
      <c r="Q17" s="46"/>
      <c r="R17" s="46"/>
      <c r="S17" s="47" t="str">
        <f aca="false">IF(COUNT(G17:L17)=0,"",SUM(G17:L17))</f>
        <v/>
      </c>
      <c r="T17" s="48" t="str">
        <f aca="false">IF(COUNT(M17:R17)=0,"",SUM(M17:R17))</f>
        <v/>
      </c>
      <c r="U17" s="40"/>
      <c r="V17" s="42"/>
      <c r="Y17" s="49" t="str">
        <f aca="false">IF(AND(A17="",B17="",D17="",COUNT(G17:L17)=0),"",IF(D17="","Missing shooter",IF(A17="","Missing date",IF(B17="","Missing event",IF(E17="","Club not in roster (type manually)",IF(COUNT(G17:L17)=0,"No scores entered",IF(U17="","Set status (official/provisional)",IF(COUNTIFS($A$2:$A$101,A17,$B$2:$B$101,B17,$D$2:$D$101,D17)&gt;1,"Duplicate entry","OK to upload"))))))))</f>
        <v/>
      </c>
    </row>
    <row r="18" customFormat="false" ht="15" hidden="false" customHeight="true" outlineLevel="0" collapsed="false">
      <c r="A18" s="41"/>
      <c r="B18" s="40"/>
      <c r="C18" s="40"/>
      <c r="D18" s="40"/>
      <c r="E18" s="44" t="str">
        <f aca="false">IFERROR(IF(D18="","",VLOOKUP(D18,Members!$A$2:$C$16,2,FALSE())),"")</f>
        <v/>
      </c>
      <c r="F18" s="44" t="str">
        <f aca="false">IFERROR(IF(D18="","",VLOOKUP(D18,Members!$A$2:$C$16,3,FALSE())),"")</f>
        <v/>
      </c>
      <c r="G18" s="45"/>
      <c r="H18" s="45"/>
      <c r="I18" s="45"/>
      <c r="J18" s="45"/>
      <c r="K18" s="45"/>
      <c r="L18" s="45"/>
      <c r="M18" s="46"/>
      <c r="N18" s="46"/>
      <c r="O18" s="46"/>
      <c r="P18" s="46"/>
      <c r="Q18" s="46"/>
      <c r="R18" s="46"/>
      <c r="S18" s="47" t="str">
        <f aca="false">IF(COUNT(G18:L18)=0,"",SUM(G18:L18))</f>
        <v/>
      </c>
      <c r="T18" s="48" t="str">
        <f aca="false">IF(COUNT(M18:R18)=0,"",SUM(M18:R18))</f>
        <v/>
      </c>
      <c r="U18" s="40"/>
      <c r="V18" s="42"/>
      <c r="Y18" s="49" t="str">
        <f aca="false">IF(AND(A18="",B18="",D18="",COUNT(G18:L18)=0),"",IF(D18="","Missing shooter",IF(A18="","Missing date",IF(B18="","Missing event",IF(E18="","Club not in roster (type manually)",IF(COUNT(G18:L18)=0,"No scores entered",IF(U18="","Set status (official/provisional)",IF(COUNTIFS($A$2:$A$101,A18,$B$2:$B$101,B18,$D$2:$D$101,D18)&gt;1,"Duplicate entry","OK to upload"))))))))</f>
        <v/>
      </c>
    </row>
    <row r="19" customFormat="false" ht="15" hidden="false" customHeight="true" outlineLevel="0" collapsed="false">
      <c r="A19" s="41"/>
      <c r="B19" s="40"/>
      <c r="C19" s="40"/>
      <c r="D19" s="40"/>
      <c r="E19" s="44" t="str">
        <f aca="false">IFERROR(IF(D19="","",VLOOKUP(D19,Members!$A$2:$C$16,2,FALSE())),"")</f>
        <v/>
      </c>
      <c r="F19" s="44" t="str">
        <f aca="false">IFERROR(IF(D19="","",VLOOKUP(D19,Members!$A$2:$C$16,3,FALSE())),"")</f>
        <v/>
      </c>
      <c r="G19" s="45"/>
      <c r="H19" s="45"/>
      <c r="I19" s="45"/>
      <c r="J19" s="45"/>
      <c r="K19" s="45"/>
      <c r="L19" s="45"/>
      <c r="M19" s="46"/>
      <c r="N19" s="46"/>
      <c r="O19" s="46"/>
      <c r="P19" s="46"/>
      <c r="Q19" s="46"/>
      <c r="R19" s="46"/>
      <c r="S19" s="47" t="str">
        <f aca="false">IF(COUNT(G19:L19)=0,"",SUM(G19:L19))</f>
        <v/>
      </c>
      <c r="T19" s="48" t="str">
        <f aca="false">IF(COUNT(M19:R19)=0,"",SUM(M19:R19))</f>
        <v/>
      </c>
      <c r="U19" s="40"/>
      <c r="V19" s="42"/>
      <c r="Y19" s="49" t="str">
        <f aca="false">IF(AND(A19="",B19="",D19="",COUNT(G19:L19)=0),"",IF(D19="","Missing shooter",IF(A19="","Missing date",IF(B19="","Missing event",IF(E19="","Club not in roster (type manually)",IF(COUNT(G19:L19)=0,"No scores entered",IF(U19="","Set status (official/provisional)",IF(COUNTIFS($A$2:$A$101,A19,$B$2:$B$101,B19,$D$2:$D$101,D19)&gt;1,"Duplicate entry","OK to upload"))))))))</f>
        <v/>
      </c>
    </row>
    <row r="20" customFormat="false" ht="15" hidden="false" customHeight="true" outlineLevel="0" collapsed="false">
      <c r="A20" s="41"/>
      <c r="B20" s="40"/>
      <c r="C20" s="40"/>
      <c r="D20" s="40"/>
      <c r="E20" s="44" t="str">
        <f aca="false">IFERROR(IF(D20="","",VLOOKUP(D20,Members!$A$2:$C$16,2,FALSE())),"")</f>
        <v/>
      </c>
      <c r="F20" s="44" t="str">
        <f aca="false">IFERROR(IF(D20="","",VLOOKUP(D20,Members!$A$2:$C$16,3,FALSE())),"")</f>
        <v/>
      </c>
      <c r="G20" s="45"/>
      <c r="H20" s="45"/>
      <c r="I20" s="45"/>
      <c r="J20" s="45"/>
      <c r="K20" s="45"/>
      <c r="L20" s="45"/>
      <c r="M20" s="46"/>
      <c r="N20" s="46"/>
      <c r="O20" s="46"/>
      <c r="P20" s="46"/>
      <c r="Q20" s="46"/>
      <c r="R20" s="46"/>
      <c r="S20" s="47" t="str">
        <f aca="false">IF(COUNT(G20:L20)=0,"",SUM(G20:L20))</f>
        <v/>
      </c>
      <c r="T20" s="48" t="str">
        <f aca="false">IF(COUNT(M20:R20)=0,"",SUM(M20:R20))</f>
        <v/>
      </c>
      <c r="U20" s="40"/>
      <c r="V20" s="42"/>
      <c r="Y20" s="49" t="str">
        <f aca="false">IF(AND(A20="",B20="",D20="",COUNT(G20:L20)=0),"",IF(D20="","Missing shooter",IF(A20="","Missing date",IF(B20="","Missing event",IF(E20="","Club not in roster (type manually)",IF(COUNT(G20:L20)=0,"No scores entered",IF(U20="","Set status (official/provisional)",IF(COUNTIFS($A$2:$A$101,A20,$B$2:$B$101,B20,$D$2:$D$101,D20)&gt;1,"Duplicate entry","OK to upload"))))))))</f>
        <v/>
      </c>
    </row>
    <row r="21" customFormat="false" ht="15" hidden="false" customHeight="true" outlineLevel="0" collapsed="false">
      <c r="A21" s="41"/>
      <c r="B21" s="40"/>
      <c r="C21" s="40"/>
      <c r="D21" s="40"/>
      <c r="E21" s="44" t="str">
        <f aca="false">IFERROR(IF(D21="","",VLOOKUP(D21,Members!$A$2:$C$16,2,FALSE())),"")</f>
        <v/>
      </c>
      <c r="F21" s="44" t="str">
        <f aca="false">IFERROR(IF(D21="","",VLOOKUP(D21,Members!$A$2:$C$16,3,FALSE())),"")</f>
        <v/>
      </c>
      <c r="G21" s="45"/>
      <c r="H21" s="45"/>
      <c r="I21" s="45"/>
      <c r="J21" s="45"/>
      <c r="K21" s="45"/>
      <c r="L21" s="45"/>
      <c r="M21" s="46"/>
      <c r="N21" s="46"/>
      <c r="O21" s="46"/>
      <c r="P21" s="46"/>
      <c r="Q21" s="46"/>
      <c r="R21" s="46"/>
      <c r="S21" s="47" t="str">
        <f aca="false">IF(COUNT(G21:L21)=0,"",SUM(G21:L21))</f>
        <v/>
      </c>
      <c r="T21" s="48" t="str">
        <f aca="false">IF(COUNT(M21:R21)=0,"",SUM(M21:R21))</f>
        <v/>
      </c>
      <c r="U21" s="40"/>
      <c r="V21" s="42"/>
      <c r="Y21" s="49" t="str">
        <f aca="false">IF(AND(A21="",B21="",D21="",COUNT(G21:L21)=0),"",IF(D21="","Missing shooter",IF(A21="","Missing date",IF(B21="","Missing event",IF(E21="","Club not in roster (type manually)",IF(COUNT(G21:L21)=0,"No scores entered",IF(U21="","Set status (official/provisional)",IF(COUNTIFS($A$2:$A$101,A21,$B$2:$B$101,B21,$D$2:$D$101,D21)&gt;1,"Duplicate entry","OK to upload"))))))))</f>
        <v/>
      </c>
    </row>
    <row r="22" customFormat="false" ht="15" hidden="false" customHeight="true" outlineLevel="0" collapsed="false">
      <c r="A22" s="41"/>
      <c r="B22" s="40"/>
      <c r="C22" s="40"/>
      <c r="D22" s="40"/>
      <c r="E22" s="44" t="str">
        <f aca="false">IFERROR(IF(D22="","",VLOOKUP(D22,Members!$A$2:$C$16,2,FALSE())),"")</f>
        <v/>
      </c>
      <c r="F22" s="44" t="str">
        <f aca="false">IFERROR(IF(D22="","",VLOOKUP(D22,Members!$A$2:$C$16,3,FALSE())),"")</f>
        <v/>
      </c>
      <c r="G22" s="45"/>
      <c r="H22" s="45"/>
      <c r="I22" s="45"/>
      <c r="J22" s="45"/>
      <c r="K22" s="45"/>
      <c r="L22" s="45"/>
      <c r="M22" s="46"/>
      <c r="N22" s="46"/>
      <c r="O22" s="46"/>
      <c r="P22" s="46"/>
      <c r="Q22" s="46"/>
      <c r="R22" s="46"/>
      <c r="S22" s="47" t="str">
        <f aca="false">IF(COUNT(G22:L22)=0,"",SUM(G22:L22))</f>
        <v/>
      </c>
      <c r="T22" s="48" t="str">
        <f aca="false">IF(COUNT(M22:R22)=0,"",SUM(M22:R22))</f>
        <v/>
      </c>
      <c r="U22" s="40"/>
      <c r="V22" s="42"/>
      <c r="Y22" s="49" t="str">
        <f aca="false">IF(AND(A22="",B22="",D22="",COUNT(G22:L22)=0),"",IF(D22="","Missing shooter",IF(A22="","Missing date",IF(B22="","Missing event",IF(E22="","Club not in roster (type manually)",IF(COUNT(G22:L22)=0,"No scores entered",IF(U22="","Set status (official/provisional)",IF(COUNTIFS($A$2:$A$101,A22,$B$2:$B$101,B22,$D$2:$D$101,D22)&gt;1,"Duplicate entry","OK to upload"))))))))</f>
        <v/>
      </c>
    </row>
    <row r="23" customFormat="false" ht="15" hidden="false" customHeight="true" outlineLevel="0" collapsed="false">
      <c r="A23" s="41"/>
      <c r="B23" s="40"/>
      <c r="C23" s="40"/>
      <c r="D23" s="40"/>
      <c r="E23" s="44" t="str">
        <f aca="false">IFERROR(IF(D23="","",VLOOKUP(D23,Members!$A$2:$C$16,2,FALSE())),"")</f>
        <v/>
      </c>
      <c r="F23" s="44" t="str">
        <f aca="false">IFERROR(IF(D23="","",VLOOKUP(D23,Members!$A$2:$C$16,3,FALSE())),"")</f>
        <v/>
      </c>
      <c r="G23" s="45"/>
      <c r="H23" s="45"/>
      <c r="I23" s="45"/>
      <c r="J23" s="45"/>
      <c r="K23" s="45"/>
      <c r="L23" s="45"/>
      <c r="M23" s="46"/>
      <c r="N23" s="46"/>
      <c r="O23" s="46"/>
      <c r="P23" s="46"/>
      <c r="Q23" s="46"/>
      <c r="R23" s="46"/>
      <c r="S23" s="47" t="str">
        <f aca="false">IF(COUNT(G23:L23)=0,"",SUM(G23:L23))</f>
        <v/>
      </c>
      <c r="T23" s="48" t="str">
        <f aca="false">IF(COUNT(M23:R23)=0,"",SUM(M23:R23))</f>
        <v/>
      </c>
      <c r="U23" s="40"/>
      <c r="V23" s="42"/>
      <c r="Y23" s="49" t="str">
        <f aca="false">IF(AND(A23="",B23="",D23="",COUNT(G23:L23)=0),"",IF(D23="","Missing shooter",IF(A23="","Missing date",IF(B23="","Missing event",IF(E23="","Club not in roster (type manually)",IF(COUNT(G23:L23)=0,"No scores entered",IF(U23="","Set status (official/provisional)",IF(COUNTIFS($A$2:$A$101,A23,$B$2:$B$101,B23,$D$2:$D$101,D23)&gt;1,"Duplicate entry","OK to upload"))))))))</f>
        <v/>
      </c>
    </row>
    <row r="24" customFormat="false" ht="15" hidden="false" customHeight="true" outlineLevel="0" collapsed="false">
      <c r="A24" s="41"/>
      <c r="B24" s="40"/>
      <c r="C24" s="40"/>
      <c r="D24" s="40"/>
      <c r="E24" s="44" t="str">
        <f aca="false">IFERROR(IF(D24="","",VLOOKUP(D24,Members!$A$2:$C$16,2,FALSE())),"")</f>
        <v/>
      </c>
      <c r="F24" s="44" t="str">
        <f aca="false">IFERROR(IF(D24="","",VLOOKUP(D24,Members!$A$2:$C$16,3,FALSE())),"")</f>
        <v/>
      </c>
      <c r="G24" s="45"/>
      <c r="H24" s="45"/>
      <c r="I24" s="45"/>
      <c r="J24" s="45"/>
      <c r="K24" s="45"/>
      <c r="L24" s="45"/>
      <c r="M24" s="46"/>
      <c r="N24" s="46"/>
      <c r="O24" s="46"/>
      <c r="P24" s="46"/>
      <c r="Q24" s="46"/>
      <c r="R24" s="46"/>
      <c r="S24" s="47" t="str">
        <f aca="false">IF(COUNT(G24:L24)=0,"",SUM(G24:L24))</f>
        <v/>
      </c>
      <c r="T24" s="48" t="str">
        <f aca="false">IF(COUNT(M24:R24)=0,"",SUM(M24:R24))</f>
        <v/>
      </c>
      <c r="U24" s="40"/>
      <c r="V24" s="42"/>
      <c r="Y24" s="49" t="str">
        <f aca="false">IF(AND(A24="",B24="",D24="",COUNT(G24:L24)=0),"",IF(D24="","Missing shooter",IF(A24="","Missing date",IF(B24="","Missing event",IF(E24="","Club not in roster (type manually)",IF(COUNT(G24:L24)=0,"No scores entered",IF(U24="","Set status (official/provisional)",IF(COUNTIFS($A$2:$A$101,A24,$B$2:$B$101,B24,$D$2:$D$101,D24)&gt;1,"Duplicate entry","OK to upload"))))))))</f>
        <v/>
      </c>
    </row>
    <row r="25" customFormat="false" ht="15" hidden="false" customHeight="true" outlineLevel="0" collapsed="false">
      <c r="A25" s="41"/>
      <c r="B25" s="40"/>
      <c r="C25" s="40"/>
      <c r="D25" s="40"/>
      <c r="E25" s="44" t="str">
        <f aca="false">IFERROR(IF(D25="","",VLOOKUP(D25,Members!$A$2:$C$16,2,FALSE())),"")</f>
        <v/>
      </c>
      <c r="F25" s="44" t="str">
        <f aca="false">IFERROR(IF(D25="","",VLOOKUP(D25,Members!$A$2:$C$16,3,FALSE())),"")</f>
        <v/>
      </c>
      <c r="G25" s="45"/>
      <c r="H25" s="45"/>
      <c r="I25" s="45"/>
      <c r="J25" s="45"/>
      <c r="K25" s="45"/>
      <c r="L25" s="45"/>
      <c r="M25" s="46"/>
      <c r="N25" s="46"/>
      <c r="O25" s="46"/>
      <c r="P25" s="46"/>
      <c r="Q25" s="46"/>
      <c r="R25" s="46"/>
      <c r="S25" s="47" t="str">
        <f aca="false">IF(COUNT(G25:L25)=0,"",SUM(G25:L25))</f>
        <v/>
      </c>
      <c r="T25" s="48" t="str">
        <f aca="false">IF(COUNT(M25:R25)=0,"",SUM(M25:R25))</f>
        <v/>
      </c>
      <c r="U25" s="40"/>
      <c r="V25" s="42"/>
      <c r="Y25" s="49" t="str">
        <f aca="false">IF(AND(A25="",B25="",D25="",COUNT(G25:L25)=0),"",IF(D25="","Missing shooter",IF(A25="","Missing date",IF(B25="","Missing event",IF(E25="","Club not in roster (type manually)",IF(COUNT(G25:L25)=0,"No scores entered",IF(U25="","Set status (official/provisional)",IF(COUNTIFS($A$2:$A$101,A25,$B$2:$B$101,B25,$D$2:$D$101,D25)&gt;1,"Duplicate entry","OK to upload"))))))))</f>
        <v/>
      </c>
    </row>
    <row r="26" customFormat="false" ht="15" hidden="false" customHeight="true" outlineLevel="0" collapsed="false">
      <c r="A26" s="41"/>
      <c r="B26" s="40"/>
      <c r="C26" s="40"/>
      <c r="D26" s="40"/>
      <c r="E26" s="44" t="str">
        <f aca="false">IFERROR(IF(D26="","",VLOOKUP(D26,Members!$A$2:$C$16,2,FALSE())),"")</f>
        <v/>
      </c>
      <c r="F26" s="44" t="str">
        <f aca="false">IFERROR(IF(D26="","",VLOOKUP(D26,Members!$A$2:$C$16,3,FALSE())),"")</f>
        <v/>
      </c>
      <c r="G26" s="45"/>
      <c r="H26" s="45"/>
      <c r="I26" s="45"/>
      <c r="J26" s="45"/>
      <c r="K26" s="45"/>
      <c r="L26" s="45"/>
      <c r="M26" s="46"/>
      <c r="N26" s="46"/>
      <c r="O26" s="46"/>
      <c r="P26" s="46"/>
      <c r="Q26" s="46"/>
      <c r="R26" s="46"/>
      <c r="S26" s="47" t="str">
        <f aca="false">IF(COUNT(G26:L26)=0,"",SUM(G26:L26))</f>
        <v/>
      </c>
      <c r="T26" s="48" t="str">
        <f aca="false">IF(COUNT(M26:R26)=0,"",SUM(M26:R26))</f>
        <v/>
      </c>
      <c r="U26" s="40"/>
      <c r="V26" s="42"/>
      <c r="Y26" s="49" t="str">
        <f aca="false">IF(AND(A26="",B26="",D26="",COUNT(G26:L26)=0),"",IF(D26="","Missing shooter",IF(A26="","Missing date",IF(B26="","Missing event",IF(E26="","Club not in roster (type manually)",IF(COUNT(G26:L26)=0,"No scores entered",IF(U26="","Set status (official/provisional)",IF(COUNTIFS($A$2:$A$101,A26,$B$2:$B$101,B26,$D$2:$D$101,D26)&gt;1,"Duplicate entry","OK to upload"))))))))</f>
        <v/>
      </c>
    </row>
    <row r="27" customFormat="false" ht="15" hidden="false" customHeight="true" outlineLevel="0" collapsed="false">
      <c r="A27" s="41"/>
      <c r="B27" s="40"/>
      <c r="C27" s="40"/>
      <c r="D27" s="40"/>
      <c r="E27" s="44" t="str">
        <f aca="false">IFERROR(IF(D27="","",VLOOKUP(D27,Members!$A$2:$C$16,2,FALSE())),"")</f>
        <v/>
      </c>
      <c r="F27" s="44" t="str">
        <f aca="false">IFERROR(IF(D27="","",VLOOKUP(D27,Members!$A$2:$C$16,3,FALSE())),"")</f>
        <v/>
      </c>
      <c r="G27" s="45"/>
      <c r="H27" s="45"/>
      <c r="I27" s="45"/>
      <c r="J27" s="45"/>
      <c r="K27" s="45"/>
      <c r="L27" s="45"/>
      <c r="M27" s="46"/>
      <c r="N27" s="46"/>
      <c r="O27" s="46"/>
      <c r="P27" s="46"/>
      <c r="Q27" s="46"/>
      <c r="R27" s="46"/>
      <c r="S27" s="47" t="str">
        <f aca="false">IF(COUNT(G27:L27)=0,"",SUM(G27:L27))</f>
        <v/>
      </c>
      <c r="T27" s="48" t="str">
        <f aca="false">IF(COUNT(M27:R27)=0,"",SUM(M27:R27))</f>
        <v/>
      </c>
      <c r="U27" s="40"/>
      <c r="V27" s="42"/>
      <c r="Y27" s="49" t="str">
        <f aca="false">IF(AND(A27="",B27="",D27="",COUNT(G27:L27)=0),"",IF(D27="","Missing shooter",IF(A27="","Missing date",IF(B27="","Missing event",IF(E27="","Club not in roster (type manually)",IF(COUNT(G27:L27)=0,"No scores entered",IF(U27="","Set status (official/provisional)",IF(COUNTIFS($A$2:$A$101,A27,$B$2:$B$101,B27,$D$2:$D$101,D27)&gt;1,"Duplicate entry","OK to upload"))))))))</f>
        <v/>
      </c>
    </row>
    <row r="28" customFormat="false" ht="15" hidden="false" customHeight="true" outlineLevel="0" collapsed="false">
      <c r="A28" s="41"/>
      <c r="B28" s="40"/>
      <c r="C28" s="40"/>
      <c r="D28" s="40"/>
      <c r="E28" s="44" t="str">
        <f aca="false">IFERROR(IF(D28="","",VLOOKUP(D28,Members!$A$2:$C$16,2,FALSE())),"")</f>
        <v/>
      </c>
      <c r="F28" s="44" t="str">
        <f aca="false">IFERROR(IF(D28="","",VLOOKUP(D28,Members!$A$2:$C$16,3,FALSE())),"")</f>
        <v/>
      </c>
      <c r="G28" s="45"/>
      <c r="H28" s="45"/>
      <c r="I28" s="45"/>
      <c r="J28" s="45"/>
      <c r="K28" s="45"/>
      <c r="L28" s="45"/>
      <c r="M28" s="46"/>
      <c r="N28" s="46"/>
      <c r="O28" s="46"/>
      <c r="P28" s="46"/>
      <c r="Q28" s="46"/>
      <c r="R28" s="46"/>
      <c r="S28" s="47" t="str">
        <f aca="false">IF(COUNT(G28:L28)=0,"",SUM(G28:L28))</f>
        <v/>
      </c>
      <c r="T28" s="48" t="str">
        <f aca="false">IF(COUNT(M28:R28)=0,"",SUM(M28:R28))</f>
        <v/>
      </c>
      <c r="U28" s="40"/>
      <c r="V28" s="42"/>
      <c r="Y28" s="49" t="str">
        <f aca="false">IF(AND(A28="",B28="",D28="",COUNT(G28:L28)=0),"",IF(D28="","Missing shooter",IF(A28="","Missing date",IF(B28="","Missing event",IF(E28="","Club not in roster (type manually)",IF(COUNT(G28:L28)=0,"No scores entered",IF(U28="","Set status (official/provisional)",IF(COUNTIFS($A$2:$A$101,A28,$B$2:$B$101,B28,$D$2:$D$101,D28)&gt;1,"Duplicate entry","OK to upload"))))))))</f>
        <v/>
      </c>
    </row>
    <row r="29" customFormat="false" ht="15" hidden="false" customHeight="true" outlineLevel="0" collapsed="false">
      <c r="A29" s="41"/>
      <c r="B29" s="40"/>
      <c r="C29" s="40"/>
      <c r="D29" s="40"/>
      <c r="E29" s="44" t="str">
        <f aca="false">IFERROR(IF(D29="","",VLOOKUP(D29,Members!$A$2:$C$16,2,FALSE())),"")</f>
        <v/>
      </c>
      <c r="F29" s="44" t="str">
        <f aca="false">IFERROR(IF(D29="","",VLOOKUP(D29,Members!$A$2:$C$16,3,FALSE())),"")</f>
        <v/>
      </c>
      <c r="G29" s="45"/>
      <c r="H29" s="45"/>
      <c r="I29" s="45"/>
      <c r="J29" s="45"/>
      <c r="K29" s="45"/>
      <c r="L29" s="45"/>
      <c r="M29" s="46"/>
      <c r="N29" s="46"/>
      <c r="O29" s="46"/>
      <c r="P29" s="46"/>
      <c r="Q29" s="46"/>
      <c r="R29" s="46"/>
      <c r="S29" s="47" t="str">
        <f aca="false">IF(COUNT(G29:L29)=0,"",SUM(G29:L29))</f>
        <v/>
      </c>
      <c r="T29" s="48" t="str">
        <f aca="false">IF(COUNT(M29:R29)=0,"",SUM(M29:R29))</f>
        <v/>
      </c>
      <c r="U29" s="40"/>
      <c r="V29" s="42"/>
      <c r="Y29" s="49" t="str">
        <f aca="false">IF(AND(A29="",B29="",D29="",COUNT(G29:L29)=0),"",IF(D29="","Missing shooter",IF(A29="","Missing date",IF(B29="","Missing event",IF(E29="","Club not in roster (type manually)",IF(COUNT(G29:L29)=0,"No scores entered",IF(U29="","Set status (official/provisional)",IF(COUNTIFS($A$2:$A$101,A29,$B$2:$B$101,B29,$D$2:$D$101,D29)&gt;1,"Duplicate entry","OK to upload"))))))))</f>
        <v/>
      </c>
    </row>
    <row r="30" customFormat="false" ht="15" hidden="false" customHeight="true" outlineLevel="0" collapsed="false">
      <c r="A30" s="41"/>
      <c r="B30" s="40"/>
      <c r="C30" s="40"/>
      <c r="D30" s="40"/>
      <c r="E30" s="44" t="str">
        <f aca="false">IFERROR(IF(D30="","",VLOOKUP(D30,Members!$A$2:$C$16,2,FALSE())),"")</f>
        <v/>
      </c>
      <c r="F30" s="44" t="str">
        <f aca="false">IFERROR(IF(D30="","",VLOOKUP(D30,Members!$A$2:$C$16,3,FALSE())),"")</f>
        <v/>
      </c>
      <c r="G30" s="45"/>
      <c r="H30" s="45"/>
      <c r="I30" s="45"/>
      <c r="J30" s="45"/>
      <c r="K30" s="45"/>
      <c r="L30" s="45"/>
      <c r="M30" s="46"/>
      <c r="N30" s="46"/>
      <c r="O30" s="46"/>
      <c r="P30" s="46"/>
      <c r="Q30" s="46"/>
      <c r="R30" s="46"/>
      <c r="S30" s="47" t="str">
        <f aca="false">IF(COUNT(G30:L30)=0,"",SUM(G30:L30))</f>
        <v/>
      </c>
      <c r="T30" s="48" t="str">
        <f aca="false">IF(COUNT(M30:R30)=0,"",SUM(M30:R30))</f>
        <v/>
      </c>
      <c r="U30" s="40"/>
      <c r="V30" s="42"/>
      <c r="Y30" s="49" t="str">
        <f aca="false">IF(AND(A30="",B30="",D30="",COUNT(G30:L30)=0),"",IF(D30="","Missing shooter",IF(A30="","Missing date",IF(B30="","Missing event",IF(E30="","Club not in roster (type manually)",IF(COUNT(G30:L30)=0,"No scores entered",IF(U30="","Set status (official/provisional)",IF(COUNTIFS($A$2:$A$101,A30,$B$2:$B$101,B30,$D$2:$D$101,D30)&gt;1,"Duplicate entry","OK to upload"))))))))</f>
        <v/>
      </c>
    </row>
    <row r="31" customFormat="false" ht="15" hidden="false" customHeight="true" outlineLevel="0" collapsed="false">
      <c r="A31" s="41"/>
      <c r="B31" s="40"/>
      <c r="C31" s="40"/>
      <c r="D31" s="40"/>
      <c r="E31" s="44" t="str">
        <f aca="false">IFERROR(IF(D31="","",VLOOKUP(D31,Members!$A$2:$C$16,2,FALSE())),"")</f>
        <v/>
      </c>
      <c r="F31" s="44" t="str">
        <f aca="false">IFERROR(IF(D31="","",VLOOKUP(D31,Members!$A$2:$C$16,3,FALSE())),"")</f>
        <v/>
      </c>
      <c r="G31" s="45"/>
      <c r="H31" s="45"/>
      <c r="I31" s="45"/>
      <c r="J31" s="45"/>
      <c r="K31" s="45"/>
      <c r="L31" s="45"/>
      <c r="M31" s="46"/>
      <c r="N31" s="46"/>
      <c r="O31" s="46"/>
      <c r="P31" s="46"/>
      <c r="Q31" s="46"/>
      <c r="R31" s="46"/>
      <c r="S31" s="47" t="str">
        <f aca="false">IF(COUNT(G31:L31)=0,"",SUM(G31:L31))</f>
        <v/>
      </c>
      <c r="T31" s="48" t="str">
        <f aca="false">IF(COUNT(M31:R31)=0,"",SUM(M31:R31))</f>
        <v/>
      </c>
      <c r="U31" s="40"/>
      <c r="V31" s="42"/>
      <c r="Y31" s="49" t="str">
        <f aca="false">IF(AND(A31="",B31="",D31="",COUNT(G31:L31)=0),"",IF(D31="","Missing shooter",IF(A31="","Missing date",IF(B31="","Missing event",IF(E31="","Club not in roster (type manually)",IF(COUNT(G31:L31)=0,"No scores entered",IF(U31="","Set status (official/provisional)",IF(COUNTIFS($A$2:$A$101,A31,$B$2:$B$101,B31,$D$2:$D$101,D31)&gt;1,"Duplicate entry","OK to upload"))))))))</f>
        <v/>
      </c>
    </row>
    <row r="32" customFormat="false" ht="15" hidden="false" customHeight="true" outlineLevel="0" collapsed="false">
      <c r="A32" s="41"/>
      <c r="B32" s="40"/>
      <c r="C32" s="40"/>
      <c r="D32" s="40"/>
      <c r="E32" s="44" t="str">
        <f aca="false">IFERROR(IF(D32="","",VLOOKUP(D32,Members!$A$2:$C$16,2,FALSE())),"")</f>
        <v/>
      </c>
      <c r="F32" s="44" t="str">
        <f aca="false">IFERROR(IF(D32="","",VLOOKUP(D32,Members!$A$2:$C$16,3,FALSE())),"")</f>
        <v/>
      </c>
      <c r="G32" s="45"/>
      <c r="H32" s="45"/>
      <c r="I32" s="45"/>
      <c r="J32" s="45"/>
      <c r="K32" s="45"/>
      <c r="L32" s="45"/>
      <c r="M32" s="46"/>
      <c r="N32" s="46"/>
      <c r="O32" s="46"/>
      <c r="P32" s="46"/>
      <c r="Q32" s="46"/>
      <c r="R32" s="46"/>
      <c r="S32" s="47" t="str">
        <f aca="false">IF(COUNT(G32:L32)=0,"",SUM(G32:L32))</f>
        <v/>
      </c>
      <c r="T32" s="48" t="str">
        <f aca="false">IF(COUNT(M32:R32)=0,"",SUM(M32:R32))</f>
        <v/>
      </c>
      <c r="U32" s="40"/>
      <c r="V32" s="42"/>
      <c r="Y32" s="49" t="str">
        <f aca="false">IF(AND(A32="",B32="",D32="",COUNT(G32:L32)=0),"",IF(D32="","Missing shooter",IF(A32="","Missing date",IF(B32="","Missing event",IF(E32="","Club not in roster (type manually)",IF(COUNT(G32:L32)=0,"No scores entered",IF(U32="","Set status (official/provisional)",IF(COUNTIFS($A$2:$A$101,A32,$B$2:$B$101,B32,$D$2:$D$101,D32)&gt;1,"Duplicate entry","OK to upload"))))))))</f>
        <v/>
      </c>
    </row>
    <row r="33" customFormat="false" ht="15" hidden="false" customHeight="true" outlineLevel="0" collapsed="false">
      <c r="A33" s="41"/>
      <c r="B33" s="40"/>
      <c r="C33" s="40"/>
      <c r="D33" s="40"/>
      <c r="E33" s="44" t="str">
        <f aca="false">IFERROR(IF(D33="","",VLOOKUP(D33,Members!$A$2:$C$16,2,FALSE())),"")</f>
        <v/>
      </c>
      <c r="F33" s="44" t="str">
        <f aca="false">IFERROR(IF(D33="","",VLOOKUP(D33,Members!$A$2:$C$16,3,FALSE())),"")</f>
        <v/>
      </c>
      <c r="G33" s="45"/>
      <c r="H33" s="45"/>
      <c r="I33" s="45"/>
      <c r="J33" s="45"/>
      <c r="K33" s="45"/>
      <c r="L33" s="45"/>
      <c r="M33" s="46"/>
      <c r="N33" s="46"/>
      <c r="O33" s="46"/>
      <c r="P33" s="46"/>
      <c r="Q33" s="46"/>
      <c r="R33" s="46"/>
      <c r="S33" s="47" t="str">
        <f aca="false">IF(COUNT(G33:L33)=0,"",SUM(G33:L33))</f>
        <v/>
      </c>
      <c r="T33" s="48" t="str">
        <f aca="false">IF(COUNT(M33:R33)=0,"",SUM(M33:R33))</f>
        <v/>
      </c>
      <c r="U33" s="40"/>
      <c r="V33" s="42"/>
      <c r="Y33" s="49" t="str">
        <f aca="false">IF(AND(A33="",B33="",D33="",COUNT(G33:L33)=0),"",IF(D33="","Missing shooter",IF(A33="","Missing date",IF(B33="","Missing event",IF(E33="","Club not in roster (type manually)",IF(COUNT(G33:L33)=0,"No scores entered",IF(U33="","Set status (official/provisional)",IF(COUNTIFS($A$2:$A$101,A33,$B$2:$B$101,B33,$D$2:$D$101,D33)&gt;1,"Duplicate entry","OK to upload"))))))))</f>
        <v/>
      </c>
    </row>
    <row r="34" customFormat="false" ht="15" hidden="false" customHeight="true" outlineLevel="0" collapsed="false">
      <c r="A34" s="41"/>
      <c r="B34" s="40"/>
      <c r="C34" s="40"/>
      <c r="D34" s="40"/>
      <c r="E34" s="44" t="str">
        <f aca="false">IFERROR(IF(D34="","",VLOOKUP(D34,Members!$A$2:$C$16,2,FALSE())),"")</f>
        <v/>
      </c>
      <c r="F34" s="44" t="str">
        <f aca="false">IFERROR(IF(D34="","",VLOOKUP(D34,Members!$A$2:$C$16,3,FALSE())),"")</f>
        <v/>
      </c>
      <c r="G34" s="45"/>
      <c r="H34" s="45"/>
      <c r="I34" s="45"/>
      <c r="J34" s="45"/>
      <c r="K34" s="45"/>
      <c r="L34" s="45"/>
      <c r="M34" s="46"/>
      <c r="N34" s="46"/>
      <c r="O34" s="46"/>
      <c r="P34" s="46"/>
      <c r="Q34" s="46"/>
      <c r="R34" s="46"/>
      <c r="S34" s="47" t="str">
        <f aca="false">IF(COUNT(G34:L34)=0,"",SUM(G34:L34))</f>
        <v/>
      </c>
      <c r="T34" s="48" t="str">
        <f aca="false">IF(COUNT(M34:R34)=0,"",SUM(M34:R34))</f>
        <v/>
      </c>
      <c r="U34" s="40"/>
      <c r="V34" s="42"/>
      <c r="Y34" s="49" t="str">
        <f aca="false">IF(AND(A34="",B34="",D34="",COUNT(G34:L34)=0),"",IF(D34="","Missing shooter",IF(A34="","Missing date",IF(B34="","Missing event",IF(E34="","Club not in roster (type manually)",IF(COUNT(G34:L34)=0,"No scores entered",IF(U34="","Set status (official/provisional)",IF(COUNTIFS($A$2:$A$101,A34,$B$2:$B$101,B34,$D$2:$D$101,D34)&gt;1,"Duplicate entry","OK to upload"))))))))</f>
        <v/>
      </c>
    </row>
    <row r="35" customFormat="false" ht="15" hidden="false" customHeight="true" outlineLevel="0" collapsed="false">
      <c r="A35" s="41"/>
      <c r="B35" s="40"/>
      <c r="C35" s="40"/>
      <c r="D35" s="40"/>
      <c r="E35" s="44" t="str">
        <f aca="false">IFERROR(IF(D35="","",VLOOKUP(D35,Members!$A$2:$C$16,2,FALSE())),"")</f>
        <v/>
      </c>
      <c r="F35" s="44" t="str">
        <f aca="false">IFERROR(IF(D35="","",VLOOKUP(D35,Members!$A$2:$C$16,3,FALSE())),"")</f>
        <v/>
      </c>
      <c r="G35" s="45"/>
      <c r="H35" s="45"/>
      <c r="I35" s="45"/>
      <c r="J35" s="45"/>
      <c r="K35" s="45"/>
      <c r="L35" s="45"/>
      <c r="M35" s="46"/>
      <c r="N35" s="46"/>
      <c r="O35" s="46"/>
      <c r="P35" s="46"/>
      <c r="Q35" s="46"/>
      <c r="R35" s="46"/>
      <c r="S35" s="47" t="str">
        <f aca="false">IF(COUNT(G35:L35)=0,"",SUM(G35:L35))</f>
        <v/>
      </c>
      <c r="T35" s="48" t="str">
        <f aca="false">IF(COUNT(M35:R35)=0,"",SUM(M35:R35))</f>
        <v/>
      </c>
      <c r="U35" s="40"/>
      <c r="V35" s="42"/>
      <c r="Y35" s="49" t="str">
        <f aca="false">IF(AND(A35="",B35="",D35="",COUNT(G35:L35)=0),"",IF(D35="","Missing shooter",IF(A35="","Missing date",IF(B35="","Missing event",IF(E35="","Club not in roster (type manually)",IF(COUNT(G35:L35)=0,"No scores entered",IF(U35="","Set status (official/provisional)",IF(COUNTIFS($A$2:$A$101,A35,$B$2:$B$101,B35,$D$2:$D$101,D35)&gt;1,"Duplicate entry","OK to upload"))))))))</f>
        <v/>
      </c>
    </row>
    <row r="36" customFormat="false" ht="15" hidden="false" customHeight="true" outlineLevel="0" collapsed="false">
      <c r="A36" s="41"/>
      <c r="B36" s="40"/>
      <c r="C36" s="40"/>
      <c r="D36" s="40"/>
      <c r="E36" s="44" t="str">
        <f aca="false">IFERROR(IF(D36="","",VLOOKUP(D36,Members!$A$2:$C$16,2,FALSE())),"")</f>
        <v/>
      </c>
      <c r="F36" s="44" t="str">
        <f aca="false">IFERROR(IF(D36="","",VLOOKUP(D36,Members!$A$2:$C$16,3,FALSE())),"")</f>
        <v/>
      </c>
      <c r="G36" s="45"/>
      <c r="H36" s="45"/>
      <c r="I36" s="45"/>
      <c r="J36" s="45"/>
      <c r="K36" s="45"/>
      <c r="L36" s="45"/>
      <c r="M36" s="46"/>
      <c r="N36" s="46"/>
      <c r="O36" s="46"/>
      <c r="P36" s="46"/>
      <c r="Q36" s="46"/>
      <c r="R36" s="46"/>
      <c r="S36" s="47" t="str">
        <f aca="false">IF(COUNT(G36:L36)=0,"",SUM(G36:L36))</f>
        <v/>
      </c>
      <c r="T36" s="48" t="str">
        <f aca="false">IF(COUNT(M36:R36)=0,"",SUM(M36:R36))</f>
        <v/>
      </c>
      <c r="U36" s="40"/>
      <c r="V36" s="42"/>
      <c r="Y36" s="49" t="str">
        <f aca="false">IF(AND(A36="",B36="",D36="",COUNT(G36:L36)=0),"",IF(D36="","Missing shooter",IF(A36="","Missing date",IF(B36="","Missing event",IF(E36="","Club not in roster (type manually)",IF(COUNT(G36:L36)=0,"No scores entered",IF(U36="","Set status (official/provisional)",IF(COUNTIFS($A$2:$A$101,A36,$B$2:$B$101,B36,$D$2:$D$101,D36)&gt;1,"Duplicate entry","OK to upload"))))))))</f>
        <v/>
      </c>
    </row>
    <row r="37" customFormat="false" ht="15" hidden="false" customHeight="true" outlineLevel="0" collapsed="false">
      <c r="A37" s="41"/>
      <c r="B37" s="40"/>
      <c r="C37" s="40"/>
      <c r="D37" s="40"/>
      <c r="E37" s="44" t="str">
        <f aca="false">IFERROR(IF(D37="","",VLOOKUP(D37,Members!$A$2:$C$16,2,FALSE())),"")</f>
        <v/>
      </c>
      <c r="F37" s="44" t="str">
        <f aca="false">IFERROR(IF(D37="","",VLOOKUP(D37,Members!$A$2:$C$16,3,FALSE())),"")</f>
        <v/>
      </c>
      <c r="G37" s="45"/>
      <c r="H37" s="45"/>
      <c r="I37" s="45"/>
      <c r="J37" s="45"/>
      <c r="K37" s="45"/>
      <c r="L37" s="45"/>
      <c r="M37" s="46"/>
      <c r="N37" s="46"/>
      <c r="O37" s="46"/>
      <c r="P37" s="46"/>
      <c r="Q37" s="46"/>
      <c r="R37" s="46"/>
      <c r="S37" s="47" t="str">
        <f aca="false">IF(COUNT(G37:L37)=0,"",SUM(G37:L37))</f>
        <v/>
      </c>
      <c r="T37" s="48" t="str">
        <f aca="false">IF(COUNT(M37:R37)=0,"",SUM(M37:R37))</f>
        <v/>
      </c>
      <c r="U37" s="40"/>
      <c r="V37" s="42"/>
      <c r="Y37" s="49" t="str">
        <f aca="false">IF(AND(A37="",B37="",D37="",COUNT(G37:L37)=0),"",IF(D37="","Missing shooter",IF(A37="","Missing date",IF(B37="","Missing event",IF(E37="","Club not in roster (type manually)",IF(COUNT(G37:L37)=0,"No scores entered",IF(U37="","Set status (official/provisional)",IF(COUNTIFS($A$2:$A$101,A37,$B$2:$B$101,B37,$D$2:$D$101,D37)&gt;1,"Duplicate entry","OK to upload"))))))))</f>
        <v/>
      </c>
    </row>
    <row r="38" customFormat="false" ht="15" hidden="false" customHeight="true" outlineLevel="0" collapsed="false">
      <c r="A38" s="41"/>
      <c r="B38" s="40"/>
      <c r="C38" s="40"/>
      <c r="D38" s="40"/>
      <c r="E38" s="44" t="str">
        <f aca="false">IFERROR(IF(D38="","",VLOOKUP(D38,Members!$A$2:$C$16,2,FALSE())),"")</f>
        <v/>
      </c>
      <c r="F38" s="44" t="str">
        <f aca="false">IFERROR(IF(D38="","",VLOOKUP(D38,Members!$A$2:$C$16,3,FALSE())),"")</f>
        <v/>
      </c>
      <c r="G38" s="45"/>
      <c r="H38" s="45"/>
      <c r="I38" s="45"/>
      <c r="J38" s="45"/>
      <c r="K38" s="45"/>
      <c r="L38" s="45"/>
      <c r="M38" s="46"/>
      <c r="N38" s="46"/>
      <c r="O38" s="46"/>
      <c r="P38" s="46"/>
      <c r="Q38" s="46"/>
      <c r="R38" s="46"/>
      <c r="S38" s="47" t="str">
        <f aca="false">IF(COUNT(G38:L38)=0,"",SUM(G38:L38))</f>
        <v/>
      </c>
      <c r="T38" s="48" t="str">
        <f aca="false">IF(COUNT(M38:R38)=0,"",SUM(M38:R38))</f>
        <v/>
      </c>
      <c r="U38" s="40"/>
      <c r="V38" s="42"/>
      <c r="Y38" s="49" t="str">
        <f aca="false">IF(AND(A38="",B38="",D38="",COUNT(G38:L38)=0),"",IF(D38="","Missing shooter",IF(A38="","Missing date",IF(B38="","Missing event",IF(E38="","Club not in roster (type manually)",IF(COUNT(G38:L38)=0,"No scores entered",IF(U38="","Set status (official/provisional)",IF(COUNTIFS($A$2:$A$101,A38,$B$2:$B$101,B38,$D$2:$D$101,D38)&gt;1,"Duplicate entry","OK to upload"))))))))</f>
        <v/>
      </c>
    </row>
    <row r="39" customFormat="false" ht="15" hidden="false" customHeight="true" outlineLevel="0" collapsed="false">
      <c r="A39" s="41"/>
      <c r="B39" s="40"/>
      <c r="C39" s="40"/>
      <c r="D39" s="40"/>
      <c r="E39" s="44" t="str">
        <f aca="false">IFERROR(IF(D39="","",VLOOKUP(D39,Members!$A$2:$C$16,2,FALSE())),"")</f>
        <v/>
      </c>
      <c r="F39" s="44" t="str">
        <f aca="false">IFERROR(IF(D39="","",VLOOKUP(D39,Members!$A$2:$C$16,3,FALSE())),"")</f>
        <v/>
      </c>
      <c r="G39" s="45"/>
      <c r="H39" s="45"/>
      <c r="I39" s="45"/>
      <c r="J39" s="45"/>
      <c r="K39" s="45"/>
      <c r="L39" s="45"/>
      <c r="M39" s="46"/>
      <c r="N39" s="46"/>
      <c r="O39" s="46"/>
      <c r="P39" s="46"/>
      <c r="Q39" s="46"/>
      <c r="R39" s="46"/>
      <c r="S39" s="47" t="str">
        <f aca="false">IF(COUNT(G39:L39)=0,"",SUM(G39:L39))</f>
        <v/>
      </c>
      <c r="T39" s="48" t="str">
        <f aca="false">IF(COUNT(M39:R39)=0,"",SUM(M39:R39))</f>
        <v/>
      </c>
      <c r="U39" s="40"/>
      <c r="V39" s="42"/>
      <c r="Y39" s="49" t="str">
        <f aca="false">IF(AND(A39="",B39="",D39="",COUNT(G39:L39)=0),"",IF(D39="","Missing shooter",IF(A39="","Missing date",IF(B39="","Missing event",IF(E39="","Club not in roster (type manually)",IF(COUNT(G39:L39)=0,"No scores entered",IF(U39="","Set status (official/provisional)",IF(COUNTIFS($A$2:$A$101,A39,$B$2:$B$101,B39,$D$2:$D$101,D39)&gt;1,"Duplicate entry","OK to upload"))))))))</f>
        <v/>
      </c>
    </row>
    <row r="40" customFormat="false" ht="15" hidden="false" customHeight="true" outlineLevel="0" collapsed="false">
      <c r="A40" s="41"/>
      <c r="B40" s="40"/>
      <c r="C40" s="40"/>
      <c r="D40" s="40"/>
      <c r="E40" s="44" t="str">
        <f aca="false">IFERROR(IF(D40="","",VLOOKUP(D40,Members!$A$2:$C$16,2,FALSE())),"")</f>
        <v/>
      </c>
      <c r="F40" s="44" t="str">
        <f aca="false">IFERROR(IF(D40="","",VLOOKUP(D40,Members!$A$2:$C$16,3,FALSE())),"")</f>
        <v/>
      </c>
      <c r="G40" s="45"/>
      <c r="H40" s="45"/>
      <c r="I40" s="45"/>
      <c r="J40" s="45"/>
      <c r="K40" s="45"/>
      <c r="L40" s="45"/>
      <c r="M40" s="46"/>
      <c r="N40" s="46"/>
      <c r="O40" s="46"/>
      <c r="P40" s="46"/>
      <c r="Q40" s="46"/>
      <c r="R40" s="46"/>
      <c r="S40" s="47" t="str">
        <f aca="false">IF(COUNT(G40:L40)=0,"",SUM(G40:L40))</f>
        <v/>
      </c>
      <c r="T40" s="48" t="str">
        <f aca="false">IF(COUNT(M40:R40)=0,"",SUM(M40:R40))</f>
        <v/>
      </c>
      <c r="U40" s="40"/>
      <c r="V40" s="42"/>
      <c r="Y40" s="49" t="str">
        <f aca="false">IF(AND(A40="",B40="",D40="",COUNT(G40:L40)=0),"",IF(D40="","Missing shooter",IF(A40="","Missing date",IF(B40="","Missing event",IF(E40="","Club not in roster (type manually)",IF(COUNT(G40:L40)=0,"No scores entered",IF(U40="","Set status (official/provisional)",IF(COUNTIFS($A$2:$A$101,A40,$B$2:$B$101,B40,$D$2:$D$101,D40)&gt;1,"Duplicate entry","OK to upload"))))))))</f>
        <v/>
      </c>
    </row>
    <row r="41" customFormat="false" ht="15" hidden="false" customHeight="true" outlineLevel="0" collapsed="false">
      <c r="A41" s="41"/>
      <c r="B41" s="40"/>
      <c r="C41" s="40"/>
      <c r="D41" s="40"/>
      <c r="E41" s="44" t="str">
        <f aca="false">IFERROR(IF(D41="","",VLOOKUP(D41,Members!$A$2:$C$16,2,FALSE())),"")</f>
        <v/>
      </c>
      <c r="F41" s="44" t="str">
        <f aca="false">IFERROR(IF(D41="","",VLOOKUP(D41,Members!$A$2:$C$16,3,FALSE())),"")</f>
        <v/>
      </c>
      <c r="G41" s="45"/>
      <c r="H41" s="45"/>
      <c r="I41" s="45"/>
      <c r="J41" s="45"/>
      <c r="K41" s="45"/>
      <c r="L41" s="45"/>
      <c r="M41" s="46"/>
      <c r="N41" s="46"/>
      <c r="O41" s="46"/>
      <c r="P41" s="46"/>
      <c r="Q41" s="46"/>
      <c r="R41" s="46"/>
      <c r="S41" s="47" t="str">
        <f aca="false">IF(COUNT(G41:L41)=0,"",SUM(G41:L41))</f>
        <v/>
      </c>
      <c r="T41" s="48" t="str">
        <f aca="false">IF(COUNT(M41:R41)=0,"",SUM(M41:R41))</f>
        <v/>
      </c>
      <c r="U41" s="40"/>
      <c r="V41" s="42"/>
      <c r="Y41" s="49" t="str">
        <f aca="false">IF(AND(A41="",B41="",D41="",COUNT(G41:L41)=0),"",IF(D41="","Missing shooter",IF(A41="","Missing date",IF(B41="","Missing event",IF(E41="","Club not in roster (type manually)",IF(COUNT(G41:L41)=0,"No scores entered",IF(U41="","Set status (official/provisional)",IF(COUNTIFS($A$2:$A$101,A41,$B$2:$B$101,B41,$D$2:$D$101,D41)&gt;1,"Duplicate entry","OK to upload"))))))))</f>
        <v/>
      </c>
    </row>
    <row r="42" customFormat="false" ht="15" hidden="false" customHeight="true" outlineLevel="0" collapsed="false">
      <c r="A42" s="41"/>
      <c r="B42" s="40"/>
      <c r="C42" s="40"/>
      <c r="D42" s="40"/>
      <c r="E42" s="44" t="str">
        <f aca="false">IFERROR(IF(D42="","",VLOOKUP(D42,Members!$A$2:$C$16,2,FALSE())),"")</f>
        <v/>
      </c>
      <c r="F42" s="44" t="str">
        <f aca="false">IFERROR(IF(D42="","",VLOOKUP(D42,Members!$A$2:$C$16,3,FALSE())),"")</f>
        <v/>
      </c>
      <c r="G42" s="45"/>
      <c r="H42" s="45"/>
      <c r="I42" s="45"/>
      <c r="J42" s="45"/>
      <c r="K42" s="45"/>
      <c r="L42" s="45"/>
      <c r="M42" s="46"/>
      <c r="N42" s="46"/>
      <c r="O42" s="46"/>
      <c r="P42" s="46"/>
      <c r="Q42" s="46"/>
      <c r="R42" s="46"/>
      <c r="S42" s="47" t="str">
        <f aca="false">IF(COUNT(G42:L42)=0,"",SUM(G42:L42))</f>
        <v/>
      </c>
      <c r="T42" s="48" t="str">
        <f aca="false">IF(COUNT(M42:R42)=0,"",SUM(M42:R42))</f>
        <v/>
      </c>
      <c r="U42" s="40"/>
      <c r="V42" s="42"/>
      <c r="Y42" s="49" t="str">
        <f aca="false">IF(AND(A42="",B42="",D42="",COUNT(G42:L42)=0),"",IF(D42="","Missing shooter",IF(A42="","Missing date",IF(B42="","Missing event",IF(E42="","Club not in roster (type manually)",IF(COUNT(G42:L42)=0,"No scores entered",IF(U42="","Set status (official/provisional)",IF(COUNTIFS($A$2:$A$101,A42,$B$2:$B$101,B42,$D$2:$D$101,D42)&gt;1,"Duplicate entry","OK to upload"))))))))</f>
        <v/>
      </c>
    </row>
    <row r="43" customFormat="false" ht="15" hidden="false" customHeight="true" outlineLevel="0" collapsed="false">
      <c r="A43" s="41"/>
      <c r="B43" s="40"/>
      <c r="C43" s="40"/>
      <c r="D43" s="40"/>
      <c r="E43" s="44" t="str">
        <f aca="false">IFERROR(IF(D43="","",VLOOKUP(D43,Members!$A$2:$C$16,2,FALSE())),"")</f>
        <v/>
      </c>
      <c r="F43" s="44" t="str">
        <f aca="false">IFERROR(IF(D43="","",VLOOKUP(D43,Members!$A$2:$C$16,3,FALSE())),"")</f>
        <v/>
      </c>
      <c r="G43" s="45"/>
      <c r="H43" s="45"/>
      <c r="I43" s="45"/>
      <c r="J43" s="45"/>
      <c r="K43" s="45"/>
      <c r="L43" s="45"/>
      <c r="M43" s="46"/>
      <c r="N43" s="46"/>
      <c r="O43" s="46"/>
      <c r="P43" s="46"/>
      <c r="Q43" s="46"/>
      <c r="R43" s="46"/>
      <c r="S43" s="47" t="str">
        <f aca="false">IF(COUNT(G43:L43)=0,"",SUM(G43:L43))</f>
        <v/>
      </c>
      <c r="T43" s="48" t="str">
        <f aca="false">IF(COUNT(M43:R43)=0,"",SUM(M43:R43))</f>
        <v/>
      </c>
      <c r="U43" s="40"/>
      <c r="V43" s="42"/>
      <c r="Y43" s="49" t="str">
        <f aca="false">IF(AND(A43="",B43="",D43="",COUNT(G43:L43)=0),"",IF(D43="","Missing shooter",IF(A43="","Missing date",IF(B43="","Missing event",IF(E43="","Club not in roster (type manually)",IF(COUNT(G43:L43)=0,"No scores entered",IF(U43="","Set status (official/provisional)",IF(COUNTIFS($A$2:$A$101,A43,$B$2:$B$101,B43,$D$2:$D$101,D43)&gt;1,"Duplicate entry","OK to upload"))))))))</f>
        <v/>
      </c>
    </row>
    <row r="44" customFormat="false" ht="15" hidden="false" customHeight="true" outlineLevel="0" collapsed="false">
      <c r="A44" s="41"/>
      <c r="B44" s="40"/>
      <c r="C44" s="40"/>
      <c r="D44" s="40"/>
      <c r="E44" s="44" t="str">
        <f aca="false">IFERROR(IF(D44="","",VLOOKUP(D44,Members!$A$2:$C$16,2,FALSE())),"")</f>
        <v/>
      </c>
      <c r="F44" s="44" t="str">
        <f aca="false">IFERROR(IF(D44="","",VLOOKUP(D44,Members!$A$2:$C$16,3,FALSE())),"")</f>
        <v/>
      </c>
      <c r="G44" s="45"/>
      <c r="H44" s="45"/>
      <c r="I44" s="45"/>
      <c r="J44" s="45"/>
      <c r="K44" s="45"/>
      <c r="L44" s="45"/>
      <c r="M44" s="46"/>
      <c r="N44" s="46"/>
      <c r="O44" s="46"/>
      <c r="P44" s="46"/>
      <c r="Q44" s="46"/>
      <c r="R44" s="46"/>
      <c r="S44" s="47" t="str">
        <f aca="false">IF(COUNT(G44:L44)=0,"",SUM(G44:L44))</f>
        <v/>
      </c>
      <c r="T44" s="48" t="str">
        <f aca="false">IF(COUNT(M44:R44)=0,"",SUM(M44:R44))</f>
        <v/>
      </c>
      <c r="U44" s="40"/>
      <c r="V44" s="42"/>
      <c r="Y44" s="49" t="str">
        <f aca="false">IF(AND(A44="",B44="",D44="",COUNT(G44:L44)=0),"",IF(D44="","Missing shooter",IF(A44="","Missing date",IF(B44="","Missing event",IF(E44="","Club not in roster (type manually)",IF(COUNT(G44:L44)=0,"No scores entered",IF(U44="","Set status (official/provisional)",IF(COUNTIFS($A$2:$A$101,A44,$B$2:$B$101,B44,$D$2:$D$101,D44)&gt;1,"Duplicate entry","OK to upload"))))))))</f>
        <v/>
      </c>
    </row>
    <row r="45" customFormat="false" ht="15" hidden="false" customHeight="true" outlineLevel="0" collapsed="false">
      <c r="A45" s="41"/>
      <c r="B45" s="40"/>
      <c r="C45" s="40"/>
      <c r="D45" s="40"/>
      <c r="E45" s="44" t="str">
        <f aca="false">IFERROR(IF(D45="","",VLOOKUP(D45,Members!$A$2:$C$16,2,FALSE())),"")</f>
        <v/>
      </c>
      <c r="F45" s="44" t="str">
        <f aca="false">IFERROR(IF(D45="","",VLOOKUP(D45,Members!$A$2:$C$16,3,FALSE())),"")</f>
        <v/>
      </c>
      <c r="G45" s="45"/>
      <c r="H45" s="45"/>
      <c r="I45" s="45"/>
      <c r="J45" s="45"/>
      <c r="K45" s="45"/>
      <c r="L45" s="45"/>
      <c r="M45" s="46"/>
      <c r="N45" s="46"/>
      <c r="O45" s="46"/>
      <c r="P45" s="46"/>
      <c r="Q45" s="46"/>
      <c r="R45" s="46"/>
      <c r="S45" s="47" t="str">
        <f aca="false">IF(COUNT(G45:L45)=0,"",SUM(G45:L45))</f>
        <v/>
      </c>
      <c r="T45" s="48" t="str">
        <f aca="false">IF(COUNT(M45:R45)=0,"",SUM(M45:R45))</f>
        <v/>
      </c>
      <c r="U45" s="40"/>
      <c r="V45" s="42"/>
      <c r="Y45" s="49" t="str">
        <f aca="false">IF(AND(A45="",B45="",D45="",COUNT(G45:L45)=0),"",IF(D45="","Missing shooter",IF(A45="","Missing date",IF(B45="","Missing event",IF(E45="","Club not in roster (type manually)",IF(COUNT(G45:L45)=0,"No scores entered",IF(U45="","Set status (official/provisional)",IF(COUNTIFS($A$2:$A$101,A45,$B$2:$B$101,B45,$D$2:$D$101,D45)&gt;1,"Duplicate entry","OK to upload"))))))))</f>
        <v/>
      </c>
    </row>
    <row r="46" customFormat="false" ht="15" hidden="false" customHeight="true" outlineLevel="0" collapsed="false">
      <c r="A46" s="41"/>
      <c r="B46" s="40"/>
      <c r="C46" s="40"/>
      <c r="D46" s="40"/>
      <c r="E46" s="44" t="str">
        <f aca="false">IFERROR(IF(D46="","",VLOOKUP(D46,Members!$A$2:$C$16,2,FALSE())),"")</f>
        <v/>
      </c>
      <c r="F46" s="44" t="str">
        <f aca="false">IFERROR(IF(D46="","",VLOOKUP(D46,Members!$A$2:$C$16,3,FALSE())),"")</f>
        <v/>
      </c>
      <c r="G46" s="45"/>
      <c r="H46" s="45"/>
      <c r="I46" s="45"/>
      <c r="J46" s="45"/>
      <c r="K46" s="45"/>
      <c r="L46" s="45"/>
      <c r="M46" s="46"/>
      <c r="N46" s="46"/>
      <c r="O46" s="46"/>
      <c r="P46" s="46"/>
      <c r="Q46" s="46"/>
      <c r="R46" s="46"/>
      <c r="S46" s="47" t="str">
        <f aca="false">IF(COUNT(G46:L46)=0,"",SUM(G46:L46))</f>
        <v/>
      </c>
      <c r="T46" s="48" t="str">
        <f aca="false">IF(COUNT(M46:R46)=0,"",SUM(M46:R46))</f>
        <v/>
      </c>
      <c r="U46" s="40"/>
      <c r="V46" s="42"/>
      <c r="Y46" s="49" t="str">
        <f aca="false">IF(AND(A46="",B46="",D46="",COUNT(G46:L46)=0),"",IF(D46="","Missing shooter",IF(A46="","Missing date",IF(B46="","Missing event",IF(E46="","Club not in roster (type manually)",IF(COUNT(G46:L46)=0,"No scores entered",IF(U46="","Set status (official/provisional)",IF(COUNTIFS($A$2:$A$101,A46,$B$2:$B$101,B46,$D$2:$D$101,D46)&gt;1,"Duplicate entry","OK to upload"))))))))</f>
        <v/>
      </c>
    </row>
    <row r="47" customFormat="false" ht="15" hidden="false" customHeight="true" outlineLevel="0" collapsed="false">
      <c r="A47" s="41"/>
      <c r="B47" s="40"/>
      <c r="C47" s="40"/>
      <c r="D47" s="40"/>
      <c r="E47" s="44" t="str">
        <f aca="false">IFERROR(IF(D47="","",VLOOKUP(D47,Members!$A$2:$C$16,2,FALSE())),"")</f>
        <v/>
      </c>
      <c r="F47" s="44" t="str">
        <f aca="false">IFERROR(IF(D47="","",VLOOKUP(D47,Members!$A$2:$C$16,3,FALSE())),"")</f>
        <v/>
      </c>
      <c r="G47" s="45"/>
      <c r="H47" s="45"/>
      <c r="I47" s="45"/>
      <c r="J47" s="45"/>
      <c r="K47" s="45"/>
      <c r="L47" s="45"/>
      <c r="M47" s="46"/>
      <c r="N47" s="46"/>
      <c r="O47" s="46"/>
      <c r="P47" s="46"/>
      <c r="Q47" s="46"/>
      <c r="R47" s="46"/>
      <c r="S47" s="47" t="str">
        <f aca="false">IF(COUNT(G47:L47)=0,"",SUM(G47:L47))</f>
        <v/>
      </c>
      <c r="T47" s="48" t="str">
        <f aca="false">IF(COUNT(M47:R47)=0,"",SUM(M47:R47))</f>
        <v/>
      </c>
      <c r="U47" s="40"/>
      <c r="V47" s="42"/>
      <c r="Y47" s="49" t="str">
        <f aca="false">IF(AND(A47="",B47="",D47="",COUNT(G47:L47)=0),"",IF(D47="","Missing shooter",IF(A47="","Missing date",IF(B47="","Missing event",IF(E47="","Club not in roster (type manually)",IF(COUNT(G47:L47)=0,"No scores entered",IF(U47="","Set status (official/provisional)",IF(COUNTIFS($A$2:$A$101,A47,$B$2:$B$101,B47,$D$2:$D$101,D47)&gt;1,"Duplicate entry","OK to upload"))))))))</f>
        <v/>
      </c>
    </row>
    <row r="48" customFormat="false" ht="15" hidden="false" customHeight="true" outlineLevel="0" collapsed="false">
      <c r="A48" s="41"/>
      <c r="B48" s="40"/>
      <c r="C48" s="40"/>
      <c r="D48" s="40"/>
      <c r="E48" s="44" t="str">
        <f aca="false">IFERROR(IF(D48="","",VLOOKUP(D48,Members!$A$2:$C$16,2,FALSE())),"")</f>
        <v/>
      </c>
      <c r="F48" s="44" t="str">
        <f aca="false">IFERROR(IF(D48="","",VLOOKUP(D48,Members!$A$2:$C$16,3,FALSE())),"")</f>
        <v/>
      </c>
      <c r="G48" s="45"/>
      <c r="H48" s="45"/>
      <c r="I48" s="45"/>
      <c r="J48" s="45"/>
      <c r="K48" s="45"/>
      <c r="L48" s="45"/>
      <c r="M48" s="46"/>
      <c r="N48" s="46"/>
      <c r="O48" s="46"/>
      <c r="P48" s="46"/>
      <c r="Q48" s="46"/>
      <c r="R48" s="46"/>
      <c r="S48" s="47" t="str">
        <f aca="false">IF(COUNT(G48:L48)=0,"",SUM(G48:L48))</f>
        <v/>
      </c>
      <c r="T48" s="48" t="str">
        <f aca="false">IF(COUNT(M48:R48)=0,"",SUM(M48:R48))</f>
        <v/>
      </c>
      <c r="U48" s="40"/>
      <c r="V48" s="42"/>
      <c r="Y48" s="49" t="str">
        <f aca="false">IF(AND(A48="",B48="",D48="",COUNT(G48:L48)=0),"",IF(D48="","Missing shooter",IF(A48="","Missing date",IF(B48="","Missing event",IF(E48="","Club not in roster (type manually)",IF(COUNT(G48:L48)=0,"No scores entered",IF(U48="","Set status (official/provisional)",IF(COUNTIFS($A$2:$A$101,A48,$B$2:$B$101,B48,$D$2:$D$101,D48)&gt;1,"Duplicate entry","OK to upload"))))))))</f>
        <v/>
      </c>
    </row>
    <row r="49" customFormat="false" ht="15" hidden="false" customHeight="true" outlineLevel="0" collapsed="false">
      <c r="A49" s="41"/>
      <c r="B49" s="40"/>
      <c r="C49" s="40"/>
      <c r="D49" s="40"/>
      <c r="E49" s="44" t="str">
        <f aca="false">IFERROR(IF(D49="","",VLOOKUP(D49,Members!$A$2:$C$16,2,FALSE())),"")</f>
        <v/>
      </c>
      <c r="F49" s="44" t="str">
        <f aca="false">IFERROR(IF(D49="","",VLOOKUP(D49,Members!$A$2:$C$16,3,FALSE())),"")</f>
        <v/>
      </c>
      <c r="G49" s="45"/>
      <c r="H49" s="45"/>
      <c r="I49" s="45"/>
      <c r="J49" s="45"/>
      <c r="K49" s="45"/>
      <c r="L49" s="45"/>
      <c r="M49" s="46"/>
      <c r="N49" s="46"/>
      <c r="O49" s="46"/>
      <c r="P49" s="46"/>
      <c r="Q49" s="46"/>
      <c r="R49" s="46"/>
      <c r="S49" s="47" t="str">
        <f aca="false">IF(COUNT(G49:L49)=0,"",SUM(G49:L49))</f>
        <v/>
      </c>
      <c r="T49" s="48" t="str">
        <f aca="false">IF(COUNT(M49:R49)=0,"",SUM(M49:R49))</f>
        <v/>
      </c>
      <c r="U49" s="40"/>
      <c r="V49" s="42"/>
      <c r="Y49" s="49" t="str">
        <f aca="false">IF(AND(A49="",B49="",D49="",COUNT(G49:L49)=0),"",IF(D49="","Missing shooter",IF(A49="","Missing date",IF(B49="","Missing event",IF(E49="","Club not in roster (type manually)",IF(COUNT(G49:L49)=0,"No scores entered",IF(U49="","Set status (official/provisional)",IF(COUNTIFS($A$2:$A$101,A49,$B$2:$B$101,B49,$D$2:$D$101,D49)&gt;1,"Duplicate entry","OK to upload"))))))))</f>
        <v/>
      </c>
    </row>
    <row r="50" customFormat="false" ht="15" hidden="false" customHeight="true" outlineLevel="0" collapsed="false">
      <c r="A50" s="41"/>
      <c r="B50" s="40"/>
      <c r="C50" s="40"/>
      <c r="D50" s="40"/>
      <c r="E50" s="44" t="str">
        <f aca="false">IFERROR(IF(D50="","",VLOOKUP(D50,Members!$A$2:$C$16,2,FALSE())),"")</f>
        <v/>
      </c>
      <c r="F50" s="44" t="str">
        <f aca="false">IFERROR(IF(D50="","",VLOOKUP(D50,Members!$A$2:$C$16,3,FALSE())),"")</f>
        <v/>
      </c>
      <c r="G50" s="45"/>
      <c r="H50" s="45"/>
      <c r="I50" s="45"/>
      <c r="J50" s="45"/>
      <c r="K50" s="45"/>
      <c r="L50" s="45"/>
      <c r="M50" s="46"/>
      <c r="N50" s="46"/>
      <c r="O50" s="46"/>
      <c r="P50" s="46"/>
      <c r="Q50" s="46"/>
      <c r="R50" s="46"/>
      <c r="S50" s="47" t="str">
        <f aca="false">IF(COUNT(G50:L50)=0,"",SUM(G50:L50))</f>
        <v/>
      </c>
      <c r="T50" s="48" t="str">
        <f aca="false">IF(COUNT(M50:R50)=0,"",SUM(M50:R50))</f>
        <v/>
      </c>
      <c r="U50" s="40"/>
      <c r="V50" s="42"/>
      <c r="Y50" s="49" t="str">
        <f aca="false">IF(AND(A50="",B50="",D50="",COUNT(G50:L50)=0),"",IF(D50="","Missing shooter",IF(A50="","Missing date",IF(B50="","Missing event",IF(E50="","Club not in roster (type manually)",IF(COUNT(G50:L50)=0,"No scores entered",IF(U50="","Set status (official/provisional)",IF(COUNTIFS($A$2:$A$101,A50,$B$2:$B$101,B50,$D$2:$D$101,D50)&gt;1,"Duplicate entry","OK to upload"))))))))</f>
        <v/>
      </c>
    </row>
    <row r="51" customFormat="false" ht="15" hidden="false" customHeight="true" outlineLevel="0" collapsed="false">
      <c r="A51" s="41"/>
      <c r="B51" s="40"/>
      <c r="C51" s="40"/>
      <c r="D51" s="40"/>
      <c r="E51" s="44" t="str">
        <f aca="false">IFERROR(IF(D51="","",VLOOKUP(D51,Members!$A$2:$C$16,2,FALSE())),"")</f>
        <v/>
      </c>
      <c r="F51" s="44" t="str">
        <f aca="false">IFERROR(IF(D51="","",VLOOKUP(D51,Members!$A$2:$C$16,3,FALSE())),"")</f>
        <v/>
      </c>
      <c r="G51" s="45"/>
      <c r="H51" s="45"/>
      <c r="I51" s="45"/>
      <c r="J51" s="45"/>
      <c r="K51" s="45"/>
      <c r="L51" s="45"/>
      <c r="M51" s="46"/>
      <c r="N51" s="46"/>
      <c r="O51" s="46"/>
      <c r="P51" s="46"/>
      <c r="Q51" s="46"/>
      <c r="R51" s="46"/>
      <c r="S51" s="47" t="str">
        <f aca="false">IF(COUNT(G51:L51)=0,"",SUM(G51:L51))</f>
        <v/>
      </c>
      <c r="T51" s="48" t="str">
        <f aca="false">IF(COUNT(M51:R51)=0,"",SUM(M51:R51))</f>
        <v/>
      </c>
      <c r="U51" s="40"/>
      <c r="V51" s="42"/>
      <c r="Y51" s="49" t="str">
        <f aca="false">IF(AND(A51="",B51="",D51="",COUNT(G51:L51)=0),"",IF(D51="","Missing shooter",IF(A51="","Missing date",IF(B51="","Missing event",IF(E51="","Club not in roster (type manually)",IF(COUNT(G51:L51)=0,"No scores entered",IF(U51="","Set status (official/provisional)",IF(COUNTIFS($A$2:$A$101,A51,$B$2:$B$101,B51,$D$2:$D$101,D51)&gt;1,"Duplicate entry","OK to upload"))))))))</f>
        <v/>
      </c>
    </row>
    <row r="52" customFormat="false" ht="15" hidden="false" customHeight="true" outlineLevel="0" collapsed="false">
      <c r="A52" s="41"/>
      <c r="B52" s="40"/>
      <c r="C52" s="40"/>
      <c r="D52" s="40"/>
      <c r="E52" s="44" t="str">
        <f aca="false">IFERROR(IF(D52="","",VLOOKUP(D52,Members!$A$2:$C$16,2,FALSE())),"")</f>
        <v/>
      </c>
      <c r="F52" s="44" t="str">
        <f aca="false">IFERROR(IF(D52="","",VLOOKUP(D52,Members!$A$2:$C$16,3,FALSE())),"")</f>
        <v/>
      </c>
      <c r="G52" s="45"/>
      <c r="H52" s="45"/>
      <c r="I52" s="45"/>
      <c r="J52" s="45"/>
      <c r="K52" s="45"/>
      <c r="L52" s="45"/>
      <c r="M52" s="46"/>
      <c r="N52" s="46"/>
      <c r="O52" s="46"/>
      <c r="P52" s="46"/>
      <c r="Q52" s="46"/>
      <c r="R52" s="46"/>
      <c r="S52" s="47" t="str">
        <f aca="false">IF(COUNT(G52:L52)=0,"",SUM(G52:L52))</f>
        <v/>
      </c>
      <c r="T52" s="48" t="str">
        <f aca="false">IF(COUNT(M52:R52)=0,"",SUM(M52:R52))</f>
        <v/>
      </c>
      <c r="U52" s="40"/>
      <c r="V52" s="42"/>
      <c r="Y52" s="49" t="str">
        <f aca="false">IF(AND(A52="",B52="",D52="",COUNT(G52:L52)=0),"",IF(D52="","Missing shooter",IF(A52="","Missing date",IF(B52="","Missing event",IF(E52="","Club not in roster (type manually)",IF(COUNT(G52:L52)=0,"No scores entered",IF(U52="","Set status (official/provisional)",IF(COUNTIFS($A$2:$A$101,A52,$B$2:$B$101,B52,$D$2:$D$101,D52)&gt;1,"Duplicate entry","OK to upload"))))))))</f>
        <v/>
      </c>
    </row>
    <row r="53" customFormat="false" ht="15" hidden="false" customHeight="true" outlineLevel="0" collapsed="false">
      <c r="A53" s="41"/>
      <c r="B53" s="40"/>
      <c r="C53" s="40"/>
      <c r="D53" s="40"/>
      <c r="E53" s="44" t="str">
        <f aca="false">IFERROR(IF(D53="","",VLOOKUP(D53,Members!$A$2:$C$16,2,FALSE())),"")</f>
        <v/>
      </c>
      <c r="F53" s="44" t="str">
        <f aca="false">IFERROR(IF(D53="","",VLOOKUP(D53,Members!$A$2:$C$16,3,FALSE())),"")</f>
        <v/>
      </c>
      <c r="G53" s="45"/>
      <c r="H53" s="45"/>
      <c r="I53" s="45"/>
      <c r="J53" s="45"/>
      <c r="K53" s="45"/>
      <c r="L53" s="45"/>
      <c r="M53" s="46"/>
      <c r="N53" s="46"/>
      <c r="O53" s="46"/>
      <c r="P53" s="46"/>
      <c r="Q53" s="46"/>
      <c r="R53" s="46"/>
      <c r="S53" s="47" t="str">
        <f aca="false">IF(COUNT(G53:L53)=0,"",SUM(G53:L53))</f>
        <v/>
      </c>
      <c r="T53" s="48" t="str">
        <f aca="false">IF(COUNT(M53:R53)=0,"",SUM(M53:R53))</f>
        <v/>
      </c>
      <c r="U53" s="40"/>
      <c r="V53" s="42"/>
      <c r="Y53" s="49" t="str">
        <f aca="false">IF(AND(A53="",B53="",D53="",COUNT(G53:L53)=0),"",IF(D53="","Missing shooter",IF(A53="","Missing date",IF(B53="","Missing event",IF(E53="","Club not in roster (type manually)",IF(COUNT(G53:L53)=0,"No scores entered",IF(U53="","Set status (official/provisional)",IF(COUNTIFS($A$2:$A$101,A53,$B$2:$B$101,B53,$D$2:$D$101,D53)&gt;1,"Duplicate entry","OK to upload"))))))))</f>
        <v/>
      </c>
    </row>
    <row r="54" customFormat="false" ht="15" hidden="false" customHeight="true" outlineLevel="0" collapsed="false">
      <c r="A54" s="41"/>
      <c r="B54" s="40"/>
      <c r="C54" s="40"/>
      <c r="D54" s="40"/>
      <c r="E54" s="44" t="str">
        <f aca="false">IFERROR(IF(D54="","",VLOOKUP(D54,Members!$A$2:$C$16,2,FALSE())),"")</f>
        <v/>
      </c>
      <c r="F54" s="44" t="str">
        <f aca="false">IFERROR(IF(D54="","",VLOOKUP(D54,Members!$A$2:$C$16,3,FALSE())),"")</f>
        <v/>
      </c>
      <c r="G54" s="45"/>
      <c r="H54" s="45"/>
      <c r="I54" s="45"/>
      <c r="J54" s="45"/>
      <c r="K54" s="45"/>
      <c r="L54" s="45"/>
      <c r="M54" s="46"/>
      <c r="N54" s="46"/>
      <c r="O54" s="46"/>
      <c r="P54" s="46"/>
      <c r="Q54" s="46"/>
      <c r="R54" s="46"/>
      <c r="S54" s="47" t="str">
        <f aca="false">IF(COUNT(G54:L54)=0,"",SUM(G54:L54))</f>
        <v/>
      </c>
      <c r="T54" s="48" t="str">
        <f aca="false">IF(COUNT(M54:R54)=0,"",SUM(M54:R54))</f>
        <v/>
      </c>
      <c r="U54" s="40"/>
      <c r="V54" s="42"/>
      <c r="Y54" s="49" t="str">
        <f aca="false">IF(AND(A54="",B54="",D54="",COUNT(G54:L54)=0),"",IF(D54="","Missing shooter",IF(A54="","Missing date",IF(B54="","Missing event",IF(E54="","Club not in roster (type manually)",IF(COUNT(G54:L54)=0,"No scores entered",IF(U54="","Set status (official/provisional)",IF(COUNTIFS($A$2:$A$101,A54,$B$2:$B$101,B54,$D$2:$D$101,D54)&gt;1,"Duplicate entry","OK to upload"))))))))</f>
        <v/>
      </c>
    </row>
    <row r="55" customFormat="false" ht="15" hidden="false" customHeight="true" outlineLevel="0" collapsed="false">
      <c r="A55" s="41"/>
      <c r="B55" s="40"/>
      <c r="C55" s="40"/>
      <c r="D55" s="40"/>
      <c r="E55" s="44" t="str">
        <f aca="false">IFERROR(IF(D55="","",VLOOKUP(D55,Members!$A$2:$C$16,2,FALSE())),"")</f>
        <v/>
      </c>
      <c r="F55" s="44" t="str">
        <f aca="false">IFERROR(IF(D55="","",VLOOKUP(D55,Members!$A$2:$C$16,3,FALSE())),"")</f>
        <v/>
      </c>
      <c r="G55" s="45"/>
      <c r="H55" s="45"/>
      <c r="I55" s="45"/>
      <c r="J55" s="45"/>
      <c r="K55" s="45"/>
      <c r="L55" s="45"/>
      <c r="M55" s="46"/>
      <c r="N55" s="46"/>
      <c r="O55" s="46"/>
      <c r="P55" s="46"/>
      <c r="Q55" s="46"/>
      <c r="R55" s="46"/>
      <c r="S55" s="47" t="str">
        <f aca="false">IF(COUNT(G55:L55)=0,"",SUM(G55:L55))</f>
        <v/>
      </c>
      <c r="T55" s="48" t="str">
        <f aca="false">IF(COUNT(M55:R55)=0,"",SUM(M55:R55))</f>
        <v/>
      </c>
      <c r="U55" s="40"/>
      <c r="V55" s="42"/>
      <c r="Y55" s="49" t="str">
        <f aca="false">IF(AND(A55="",B55="",D55="",COUNT(G55:L55)=0),"",IF(D55="","Missing shooter",IF(A55="","Missing date",IF(B55="","Missing event",IF(E55="","Club not in roster (type manually)",IF(COUNT(G55:L55)=0,"No scores entered",IF(U55="","Set status (official/provisional)",IF(COUNTIFS($A$2:$A$101,A55,$B$2:$B$101,B55,$D$2:$D$101,D55)&gt;1,"Duplicate entry","OK to upload"))))))))</f>
        <v/>
      </c>
    </row>
    <row r="56" customFormat="false" ht="15" hidden="false" customHeight="true" outlineLevel="0" collapsed="false">
      <c r="A56" s="41"/>
      <c r="B56" s="40"/>
      <c r="C56" s="40"/>
      <c r="D56" s="40"/>
      <c r="E56" s="44" t="str">
        <f aca="false">IFERROR(IF(D56="","",VLOOKUP(D56,Members!$A$2:$C$16,2,FALSE())),"")</f>
        <v/>
      </c>
      <c r="F56" s="44" t="str">
        <f aca="false">IFERROR(IF(D56="","",VLOOKUP(D56,Members!$A$2:$C$16,3,FALSE())),"")</f>
        <v/>
      </c>
      <c r="G56" s="45"/>
      <c r="H56" s="45"/>
      <c r="I56" s="45"/>
      <c r="J56" s="45"/>
      <c r="K56" s="45"/>
      <c r="L56" s="45"/>
      <c r="M56" s="46"/>
      <c r="N56" s="46"/>
      <c r="O56" s="46"/>
      <c r="P56" s="46"/>
      <c r="Q56" s="46"/>
      <c r="R56" s="46"/>
      <c r="S56" s="47" t="str">
        <f aca="false">IF(COUNT(G56:L56)=0,"",SUM(G56:L56))</f>
        <v/>
      </c>
      <c r="T56" s="48" t="str">
        <f aca="false">IF(COUNT(M56:R56)=0,"",SUM(M56:R56))</f>
        <v/>
      </c>
      <c r="U56" s="40"/>
      <c r="V56" s="42"/>
      <c r="Y56" s="49" t="str">
        <f aca="false">IF(AND(A56="",B56="",D56="",COUNT(G56:L56)=0),"",IF(D56="","Missing shooter",IF(A56="","Missing date",IF(B56="","Missing event",IF(E56="","Club not in roster (type manually)",IF(COUNT(G56:L56)=0,"No scores entered",IF(U56="","Set status (official/provisional)",IF(COUNTIFS($A$2:$A$101,A56,$B$2:$B$101,B56,$D$2:$D$101,D56)&gt;1,"Duplicate entry","OK to upload"))))))))</f>
        <v/>
      </c>
    </row>
    <row r="57" customFormat="false" ht="15" hidden="false" customHeight="true" outlineLevel="0" collapsed="false">
      <c r="A57" s="41"/>
      <c r="B57" s="40"/>
      <c r="C57" s="40"/>
      <c r="D57" s="40"/>
      <c r="E57" s="44" t="str">
        <f aca="false">IFERROR(IF(D57="","",VLOOKUP(D57,Members!$A$2:$C$16,2,FALSE())),"")</f>
        <v/>
      </c>
      <c r="F57" s="44" t="str">
        <f aca="false">IFERROR(IF(D57="","",VLOOKUP(D57,Members!$A$2:$C$16,3,FALSE())),"")</f>
        <v/>
      </c>
      <c r="G57" s="45"/>
      <c r="H57" s="45"/>
      <c r="I57" s="45"/>
      <c r="J57" s="45"/>
      <c r="K57" s="45"/>
      <c r="L57" s="45"/>
      <c r="M57" s="46"/>
      <c r="N57" s="46"/>
      <c r="O57" s="46"/>
      <c r="P57" s="46"/>
      <c r="Q57" s="46"/>
      <c r="R57" s="46"/>
      <c r="S57" s="47" t="str">
        <f aca="false">IF(COUNT(G57:L57)=0,"",SUM(G57:L57))</f>
        <v/>
      </c>
      <c r="T57" s="48" t="str">
        <f aca="false">IF(COUNT(M57:R57)=0,"",SUM(M57:R57))</f>
        <v/>
      </c>
      <c r="U57" s="40"/>
      <c r="V57" s="42"/>
      <c r="Y57" s="49" t="str">
        <f aca="false">IF(AND(A57="",B57="",D57="",COUNT(G57:L57)=0),"",IF(D57="","Missing shooter",IF(A57="","Missing date",IF(B57="","Missing event",IF(E57="","Club not in roster (type manually)",IF(COUNT(G57:L57)=0,"No scores entered",IF(U57="","Set status (official/provisional)",IF(COUNTIFS($A$2:$A$101,A57,$B$2:$B$101,B57,$D$2:$D$101,D57)&gt;1,"Duplicate entry","OK to upload"))))))))</f>
        <v/>
      </c>
    </row>
    <row r="58" customFormat="false" ht="15" hidden="false" customHeight="true" outlineLevel="0" collapsed="false">
      <c r="A58" s="41"/>
      <c r="B58" s="40"/>
      <c r="C58" s="40"/>
      <c r="D58" s="40"/>
      <c r="E58" s="44" t="str">
        <f aca="false">IFERROR(IF(D58="","",VLOOKUP(D58,Members!$A$2:$C$16,2,FALSE())),"")</f>
        <v/>
      </c>
      <c r="F58" s="44" t="str">
        <f aca="false">IFERROR(IF(D58="","",VLOOKUP(D58,Members!$A$2:$C$16,3,FALSE())),"")</f>
        <v/>
      </c>
      <c r="G58" s="45"/>
      <c r="H58" s="45"/>
      <c r="I58" s="45"/>
      <c r="J58" s="45"/>
      <c r="K58" s="45"/>
      <c r="L58" s="45"/>
      <c r="M58" s="46"/>
      <c r="N58" s="46"/>
      <c r="O58" s="46"/>
      <c r="P58" s="46"/>
      <c r="Q58" s="46"/>
      <c r="R58" s="46"/>
      <c r="S58" s="47" t="str">
        <f aca="false">IF(COUNT(G58:L58)=0,"",SUM(G58:L58))</f>
        <v/>
      </c>
      <c r="T58" s="48" t="str">
        <f aca="false">IF(COUNT(M58:R58)=0,"",SUM(M58:R58))</f>
        <v/>
      </c>
      <c r="U58" s="40"/>
      <c r="V58" s="42"/>
      <c r="Y58" s="49" t="str">
        <f aca="false">IF(AND(A58="",B58="",D58="",COUNT(G58:L58)=0),"",IF(D58="","Missing shooter",IF(A58="","Missing date",IF(B58="","Missing event",IF(E58="","Club not in roster (type manually)",IF(COUNT(G58:L58)=0,"No scores entered",IF(U58="","Set status (official/provisional)",IF(COUNTIFS($A$2:$A$101,A58,$B$2:$B$101,B58,$D$2:$D$101,D58)&gt;1,"Duplicate entry","OK to upload"))))))))</f>
        <v/>
      </c>
    </row>
    <row r="59" customFormat="false" ht="15" hidden="false" customHeight="true" outlineLevel="0" collapsed="false">
      <c r="A59" s="41"/>
      <c r="B59" s="40"/>
      <c r="C59" s="40"/>
      <c r="D59" s="40"/>
      <c r="E59" s="44" t="str">
        <f aca="false">IFERROR(IF(D59="","",VLOOKUP(D59,Members!$A$2:$C$16,2,FALSE())),"")</f>
        <v/>
      </c>
      <c r="F59" s="44" t="str">
        <f aca="false">IFERROR(IF(D59="","",VLOOKUP(D59,Members!$A$2:$C$16,3,FALSE())),"")</f>
        <v/>
      </c>
      <c r="G59" s="45"/>
      <c r="H59" s="45"/>
      <c r="I59" s="45"/>
      <c r="J59" s="45"/>
      <c r="K59" s="45"/>
      <c r="L59" s="45"/>
      <c r="M59" s="46"/>
      <c r="N59" s="46"/>
      <c r="O59" s="46"/>
      <c r="P59" s="46"/>
      <c r="Q59" s="46"/>
      <c r="R59" s="46"/>
      <c r="S59" s="47" t="str">
        <f aca="false">IF(COUNT(G59:L59)=0,"",SUM(G59:L59))</f>
        <v/>
      </c>
      <c r="T59" s="48" t="str">
        <f aca="false">IF(COUNT(M59:R59)=0,"",SUM(M59:R59))</f>
        <v/>
      </c>
      <c r="U59" s="40"/>
      <c r="V59" s="42"/>
      <c r="Y59" s="49" t="str">
        <f aca="false">IF(AND(A59="",B59="",D59="",COUNT(G59:L59)=0),"",IF(D59="","Missing shooter",IF(A59="","Missing date",IF(B59="","Missing event",IF(E59="","Club not in roster (type manually)",IF(COUNT(G59:L59)=0,"No scores entered",IF(U59="","Set status (official/provisional)",IF(COUNTIFS($A$2:$A$101,A59,$B$2:$B$101,B59,$D$2:$D$101,D59)&gt;1,"Duplicate entry","OK to upload"))))))))</f>
        <v/>
      </c>
    </row>
    <row r="60" customFormat="false" ht="15" hidden="false" customHeight="true" outlineLevel="0" collapsed="false">
      <c r="A60" s="41"/>
      <c r="B60" s="40"/>
      <c r="C60" s="40"/>
      <c r="D60" s="40"/>
      <c r="E60" s="44" t="str">
        <f aca="false">IFERROR(IF(D60="","",VLOOKUP(D60,Members!$A$2:$C$16,2,FALSE())),"")</f>
        <v/>
      </c>
      <c r="F60" s="44" t="str">
        <f aca="false">IFERROR(IF(D60="","",VLOOKUP(D60,Members!$A$2:$C$16,3,FALSE())),"")</f>
        <v/>
      </c>
      <c r="G60" s="45"/>
      <c r="H60" s="45"/>
      <c r="I60" s="45"/>
      <c r="J60" s="45"/>
      <c r="K60" s="45"/>
      <c r="L60" s="45"/>
      <c r="M60" s="46"/>
      <c r="N60" s="46"/>
      <c r="O60" s="46"/>
      <c r="P60" s="46"/>
      <c r="Q60" s="46"/>
      <c r="R60" s="46"/>
      <c r="S60" s="47" t="str">
        <f aca="false">IF(COUNT(G60:L60)=0,"",SUM(G60:L60))</f>
        <v/>
      </c>
      <c r="T60" s="48" t="str">
        <f aca="false">IF(COUNT(M60:R60)=0,"",SUM(M60:R60))</f>
        <v/>
      </c>
      <c r="U60" s="40"/>
      <c r="V60" s="42"/>
      <c r="Y60" s="49" t="str">
        <f aca="false">IF(AND(A60="",B60="",D60="",COUNT(G60:L60)=0),"",IF(D60="","Missing shooter",IF(A60="","Missing date",IF(B60="","Missing event",IF(E60="","Club not in roster (type manually)",IF(COUNT(G60:L60)=0,"No scores entered",IF(U60="","Set status (official/provisional)",IF(COUNTIFS($A$2:$A$101,A60,$B$2:$B$101,B60,$D$2:$D$101,D60)&gt;1,"Duplicate entry","OK to upload"))))))))</f>
        <v/>
      </c>
    </row>
    <row r="61" customFormat="false" ht="15" hidden="false" customHeight="true" outlineLevel="0" collapsed="false">
      <c r="A61" s="41"/>
      <c r="B61" s="40"/>
      <c r="C61" s="40"/>
      <c r="D61" s="40"/>
      <c r="E61" s="44" t="str">
        <f aca="false">IFERROR(IF(D61="","",VLOOKUP(D61,Members!$A$2:$C$16,2,FALSE())),"")</f>
        <v/>
      </c>
      <c r="F61" s="44" t="str">
        <f aca="false">IFERROR(IF(D61="","",VLOOKUP(D61,Members!$A$2:$C$16,3,FALSE())),"")</f>
        <v/>
      </c>
      <c r="G61" s="45"/>
      <c r="H61" s="45"/>
      <c r="I61" s="45"/>
      <c r="J61" s="45"/>
      <c r="K61" s="45"/>
      <c r="L61" s="45"/>
      <c r="M61" s="46"/>
      <c r="N61" s="46"/>
      <c r="O61" s="46"/>
      <c r="P61" s="46"/>
      <c r="Q61" s="46"/>
      <c r="R61" s="46"/>
      <c r="S61" s="47" t="str">
        <f aca="false">IF(COUNT(G61:L61)=0,"",SUM(G61:L61))</f>
        <v/>
      </c>
      <c r="T61" s="48" t="str">
        <f aca="false">IF(COUNT(M61:R61)=0,"",SUM(M61:R61))</f>
        <v/>
      </c>
      <c r="U61" s="40"/>
      <c r="V61" s="42"/>
      <c r="Y61" s="49" t="str">
        <f aca="false">IF(AND(A61="",B61="",D61="",COUNT(G61:L61)=0),"",IF(D61="","Missing shooter",IF(A61="","Missing date",IF(B61="","Missing event",IF(E61="","Club not in roster (type manually)",IF(COUNT(G61:L61)=0,"No scores entered",IF(U61="","Set status (official/provisional)",IF(COUNTIFS($A$2:$A$101,A61,$B$2:$B$101,B61,$D$2:$D$101,D61)&gt;1,"Duplicate entry","OK to upload"))))))))</f>
        <v/>
      </c>
    </row>
    <row r="62" customFormat="false" ht="15" hidden="false" customHeight="true" outlineLevel="0" collapsed="false">
      <c r="A62" s="41"/>
      <c r="B62" s="40"/>
      <c r="C62" s="40"/>
      <c r="D62" s="40"/>
      <c r="E62" s="44" t="str">
        <f aca="false">IFERROR(IF(D62="","",VLOOKUP(D62,Members!$A$2:$C$16,2,FALSE())),"")</f>
        <v/>
      </c>
      <c r="F62" s="44" t="str">
        <f aca="false">IFERROR(IF(D62="","",VLOOKUP(D62,Members!$A$2:$C$16,3,FALSE())),"")</f>
        <v/>
      </c>
      <c r="G62" s="45"/>
      <c r="H62" s="45"/>
      <c r="I62" s="45"/>
      <c r="J62" s="45"/>
      <c r="K62" s="45"/>
      <c r="L62" s="45"/>
      <c r="M62" s="46"/>
      <c r="N62" s="46"/>
      <c r="O62" s="46"/>
      <c r="P62" s="46"/>
      <c r="Q62" s="46"/>
      <c r="R62" s="46"/>
      <c r="S62" s="47" t="str">
        <f aca="false">IF(COUNT(G62:L62)=0,"",SUM(G62:L62))</f>
        <v/>
      </c>
      <c r="T62" s="48" t="str">
        <f aca="false">IF(COUNT(M62:R62)=0,"",SUM(M62:R62))</f>
        <v/>
      </c>
      <c r="U62" s="40"/>
      <c r="V62" s="42"/>
      <c r="Y62" s="49" t="str">
        <f aca="false">IF(AND(A62="",B62="",D62="",COUNT(G62:L62)=0),"",IF(D62="","Missing shooter",IF(A62="","Missing date",IF(B62="","Missing event",IF(E62="","Club not in roster (type manually)",IF(COUNT(G62:L62)=0,"No scores entered",IF(U62="","Set status (official/provisional)",IF(COUNTIFS($A$2:$A$101,A62,$B$2:$B$101,B62,$D$2:$D$101,D62)&gt;1,"Duplicate entry","OK to upload"))))))))</f>
        <v/>
      </c>
    </row>
    <row r="63" customFormat="false" ht="15" hidden="false" customHeight="true" outlineLevel="0" collapsed="false">
      <c r="A63" s="41"/>
      <c r="B63" s="40"/>
      <c r="C63" s="40"/>
      <c r="D63" s="40"/>
      <c r="E63" s="44" t="str">
        <f aca="false">IFERROR(IF(D63="","",VLOOKUP(D63,Members!$A$2:$C$16,2,FALSE())),"")</f>
        <v/>
      </c>
      <c r="F63" s="44" t="str">
        <f aca="false">IFERROR(IF(D63="","",VLOOKUP(D63,Members!$A$2:$C$16,3,FALSE())),"")</f>
        <v/>
      </c>
      <c r="G63" s="45"/>
      <c r="H63" s="45"/>
      <c r="I63" s="45"/>
      <c r="J63" s="45"/>
      <c r="K63" s="45"/>
      <c r="L63" s="45"/>
      <c r="M63" s="46"/>
      <c r="N63" s="46"/>
      <c r="O63" s="46"/>
      <c r="P63" s="46"/>
      <c r="Q63" s="46"/>
      <c r="R63" s="46"/>
      <c r="S63" s="47" t="str">
        <f aca="false">IF(COUNT(G63:L63)=0,"",SUM(G63:L63))</f>
        <v/>
      </c>
      <c r="T63" s="48" t="str">
        <f aca="false">IF(COUNT(M63:R63)=0,"",SUM(M63:R63))</f>
        <v/>
      </c>
      <c r="U63" s="40"/>
      <c r="V63" s="42"/>
      <c r="Y63" s="49" t="str">
        <f aca="false">IF(AND(A63="",B63="",D63="",COUNT(G63:L63)=0),"",IF(D63="","Missing shooter",IF(A63="","Missing date",IF(B63="","Missing event",IF(E63="","Club not in roster (type manually)",IF(COUNT(G63:L63)=0,"No scores entered",IF(U63="","Set status (official/provisional)",IF(COUNTIFS($A$2:$A$101,A63,$B$2:$B$101,B63,$D$2:$D$101,D63)&gt;1,"Duplicate entry","OK to upload"))))))))</f>
        <v/>
      </c>
    </row>
    <row r="64" customFormat="false" ht="15" hidden="false" customHeight="true" outlineLevel="0" collapsed="false">
      <c r="A64" s="41"/>
      <c r="B64" s="40"/>
      <c r="C64" s="40"/>
      <c r="D64" s="40"/>
      <c r="E64" s="44" t="str">
        <f aca="false">IFERROR(IF(D64="","",VLOOKUP(D64,Members!$A$2:$C$16,2,FALSE())),"")</f>
        <v/>
      </c>
      <c r="F64" s="44" t="str">
        <f aca="false">IFERROR(IF(D64="","",VLOOKUP(D64,Members!$A$2:$C$16,3,FALSE())),"")</f>
        <v/>
      </c>
      <c r="G64" s="45"/>
      <c r="H64" s="45"/>
      <c r="I64" s="45"/>
      <c r="J64" s="45"/>
      <c r="K64" s="45"/>
      <c r="L64" s="45"/>
      <c r="M64" s="46"/>
      <c r="N64" s="46"/>
      <c r="O64" s="46"/>
      <c r="P64" s="46"/>
      <c r="Q64" s="46"/>
      <c r="R64" s="46"/>
      <c r="S64" s="47" t="str">
        <f aca="false">IF(COUNT(G64:L64)=0,"",SUM(G64:L64))</f>
        <v/>
      </c>
      <c r="T64" s="48" t="str">
        <f aca="false">IF(COUNT(M64:R64)=0,"",SUM(M64:R64))</f>
        <v/>
      </c>
      <c r="U64" s="40"/>
      <c r="V64" s="42"/>
      <c r="Y64" s="49" t="str">
        <f aca="false">IF(AND(A64="",B64="",D64="",COUNT(G64:L64)=0),"",IF(D64="","Missing shooter",IF(A64="","Missing date",IF(B64="","Missing event",IF(E64="","Club not in roster (type manually)",IF(COUNT(G64:L64)=0,"No scores entered",IF(U64="","Set status (official/provisional)",IF(COUNTIFS($A$2:$A$101,A64,$B$2:$B$101,B64,$D$2:$D$101,D64)&gt;1,"Duplicate entry","OK to upload"))))))))</f>
        <v/>
      </c>
    </row>
    <row r="65" customFormat="false" ht="15" hidden="false" customHeight="true" outlineLevel="0" collapsed="false">
      <c r="A65" s="41"/>
      <c r="B65" s="40"/>
      <c r="C65" s="40"/>
      <c r="D65" s="40"/>
      <c r="E65" s="44" t="str">
        <f aca="false">IFERROR(IF(D65="","",VLOOKUP(D65,Members!$A$2:$C$16,2,FALSE())),"")</f>
        <v/>
      </c>
      <c r="F65" s="44" t="str">
        <f aca="false">IFERROR(IF(D65="","",VLOOKUP(D65,Members!$A$2:$C$16,3,FALSE())),"")</f>
        <v/>
      </c>
      <c r="G65" s="45"/>
      <c r="H65" s="45"/>
      <c r="I65" s="45"/>
      <c r="J65" s="45"/>
      <c r="K65" s="45"/>
      <c r="L65" s="45"/>
      <c r="M65" s="46"/>
      <c r="N65" s="46"/>
      <c r="O65" s="46"/>
      <c r="P65" s="46"/>
      <c r="Q65" s="46"/>
      <c r="R65" s="46"/>
      <c r="S65" s="47" t="str">
        <f aca="false">IF(COUNT(G65:L65)=0,"",SUM(G65:L65))</f>
        <v/>
      </c>
      <c r="T65" s="48" t="str">
        <f aca="false">IF(COUNT(M65:R65)=0,"",SUM(M65:R65))</f>
        <v/>
      </c>
      <c r="U65" s="40"/>
      <c r="V65" s="42"/>
      <c r="Y65" s="49" t="str">
        <f aca="false">IF(AND(A65="",B65="",D65="",COUNT(G65:L65)=0),"",IF(D65="","Missing shooter",IF(A65="","Missing date",IF(B65="","Missing event",IF(E65="","Club not in roster (type manually)",IF(COUNT(G65:L65)=0,"No scores entered",IF(U65="","Set status (official/provisional)",IF(COUNTIFS($A$2:$A$101,A65,$B$2:$B$101,B65,$D$2:$D$101,D65)&gt;1,"Duplicate entry","OK to upload"))))))))</f>
        <v/>
      </c>
    </row>
    <row r="66" customFormat="false" ht="15" hidden="false" customHeight="true" outlineLevel="0" collapsed="false">
      <c r="A66" s="41"/>
      <c r="B66" s="40"/>
      <c r="C66" s="40"/>
      <c r="D66" s="40"/>
      <c r="E66" s="44" t="str">
        <f aca="false">IFERROR(IF(D66="","",VLOOKUP(D66,Members!$A$2:$C$16,2,FALSE())),"")</f>
        <v/>
      </c>
      <c r="F66" s="44" t="str">
        <f aca="false">IFERROR(IF(D66="","",VLOOKUP(D66,Members!$A$2:$C$16,3,FALSE())),"")</f>
        <v/>
      </c>
      <c r="G66" s="45"/>
      <c r="H66" s="45"/>
      <c r="I66" s="45"/>
      <c r="J66" s="45"/>
      <c r="K66" s="45"/>
      <c r="L66" s="45"/>
      <c r="M66" s="46"/>
      <c r="N66" s="46"/>
      <c r="O66" s="46"/>
      <c r="P66" s="46"/>
      <c r="Q66" s="46"/>
      <c r="R66" s="46"/>
      <c r="S66" s="47" t="str">
        <f aca="false">IF(COUNT(G66:L66)=0,"",SUM(G66:L66))</f>
        <v/>
      </c>
      <c r="T66" s="48" t="str">
        <f aca="false">IF(COUNT(M66:R66)=0,"",SUM(M66:R66))</f>
        <v/>
      </c>
      <c r="U66" s="40"/>
      <c r="V66" s="42"/>
      <c r="Y66" s="49" t="str">
        <f aca="false">IF(AND(A66="",B66="",D66="",COUNT(G66:L66)=0),"",IF(D66="","Missing shooter",IF(A66="","Missing date",IF(B66="","Missing event",IF(E66="","Club not in roster (type manually)",IF(COUNT(G66:L66)=0,"No scores entered",IF(U66="","Set status (official/provisional)",IF(COUNTIFS($A$2:$A$101,A66,$B$2:$B$101,B66,$D$2:$D$101,D66)&gt;1,"Duplicate entry","OK to upload"))))))))</f>
        <v/>
      </c>
    </row>
    <row r="67" customFormat="false" ht="15" hidden="false" customHeight="true" outlineLevel="0" collapsed="false">
      <c r="A67" s="41"/>
      <c r="B67" s="40"/>
      <c r="C67" s="40"/>
      <c r="D67" s="40"/>
      <c r="E67" s="44" t="str">
        <f aca="false">IFERROR(IF(D67="","",VLOOKUP(D67,Members!$A$2:$C$16,2,FALSE())),"")</f>
        <v/>
      </c>
      <c r="F67" s="44" t="str">
        <f aca="false">IFERROR(IF(D67="","",VLOOKUP(D67,Members!$A$2:$C$16,3,FALSE())),"")</f>
        <v/>
      </c>
      <c r="G67" s="45"/>
      <c r="H67" s="45"/>
      <c r="I67" s="45"/>
      <c r="J67" s="45"/>
      <c r="K67" s="45"/>
      <c r="L67" s="45"/>
      <c r="M67" s="46"/>
      <c r="N67" s="46"/>
      <c r="O67" s="46"/>
      <c r="P67" s="46"/>
      <c r="Q67" s="46"/>
      <c r="R67" s="46"/>
      <c r="S67" s="47" t="str">
        <f aca="false">IF(COUNT(G67:L67)=0,"",SUM(G67:L67))</f>
        <v/>
      </c>
      <c r="T67" s="48" t="str">
        <f aca="false">IF(COUNT(M67:R67)=0,"",SUM(M67:R67))</f>
        <v/>
      </c>
      <c r="U67" s="40"/>
      <c r="V67" s="42"/>
      <c r="Y67" s="49" t="str">
        <f aca="false">IF(AND(A67="",B67="",D67="",COUNT(G67:L67)=0),"",IF(D67="","Missing shooter",IF(A67="","Missing date",IF(B67="","Missing event",IF(E67="","Club not in roster (type manually)",IF(COUNT(G67:L67)=0,"No scores entered",IF(U67="","Set status (official/provisional)",IF(COUNTIFS($A$2:$A$101,A67,$B$2:$B$101,B67,$D$2:$D$101,D67)&gt;1,"Duplicate entry","OK to upload"))))))))</f>
        <v/>
      </c>
    </row>
    <row r="68" customFormat="false" ht="15" hidden="false" customHeight="true" outlineLevel="0" collapsed="false">
      <c r="A68" s="41"/>
      <c r="B68" s="40"/>
      <c r="C68" s="40"/>
      <c r="D68" s="40"/>
      <c r="E68" s="44" t="str">
        <f aca="false">IFERROR(IF(D68="","",VLOOKUP(D68,Members!$A$2:$C$16,2,FALSE())),"")</f>
        <v/>
      </c>
      <c r="F68" s="44" t="str">
        <f aca="false">IFERROR(IF(D68="","",VLOOKUP(D68,Members!$A$2:$C$16,3,FALSE())),"")</f>
        <v/>
      </c>
      <c r="G68" s="45"/>
      <c r="H68" s="45"/>
      <c r="I68" s="45"/>
      <c r="J68" s="45"/>
      <c r="K68" s="45"/>
      <c r="L68" s="45"/>
      <c r="M68" s="46"/>
      <c r="N68" s="46"/>
      <c r="O68" s="46"/>
      <c r="P68" s="46"/>
      <c r="Q68" s="46"/>
      <c r="R68" s="46"/>
      <c r="S68" s="47" t="str">
        <f aca="false">IF(COUNT(G68:L68)=0,"",SUM(G68:L68))</f>
        <v/>
      </c>
      <c r="T68" s="48" t="str">
        <f aca="false">IF(COUNT(M68:R68)=0,"",SUM(M68:R68))</f>
        <v/>
      </c>
      <c r="U68" s="40"/>
      <c r="V68" s="42"/>
      <c r="Y68" s="49" t="str">
        <f aca="false">IF(AND(A68="",B68="",D68="",COUNT(G68:L68)=0),"",IF(D68="","Missing shooter",IF(A68="","Missing date",IF(B68="","Missing event",IF(E68="","Club not in roster (type manually)",IF(COUNT(G68:L68)=0,"No scores entered",IF(U68="","Set status (official/provisional)",IF(COUNTIFS($A$2:$A$101,A68,$B$2:$B$101,B68,$D$2:$D$101,D68)&gt;1,"Duplicate entry","OK to upload"))))))))</f>
        <v/>
      </c>
    </row>
    <row r="69" customFormat="false" ht="15" hidden="false" customHeight="true" outlineLevel="0" collapsed="false">
      <c r="A69" s="41"/>
      <c r="B69" s="40"/>
      <c r="C69" s="40"/>
      <c r="D69" s="40"/>
      <c r="E69" s="44" t="str">
        <f aca="false">IFERROR(IF(D69="","",VLOOKUP(D69,Members!$A$2:$C$16,2,FALSE())),"")</f>
        <v/>
      </c>
      <c r="F69" s="44" t="str">
        <f aca="false">IFERROR(IF(D69="","",VLOOKUP(D69,Members!$A$2:$C$16,3,FALSE())),"")</f>
        <v/>
      </c>
      <c r="G69" s="45"/>
      <c r="H69" s="45"/>
      <c r="I69" s="45"/>
      <c r="J69" s="45"/>
      <c r="K69" s="45"/>
      <c r="L69" s="45"/>
      <c r="M69" s="46"/>
      <c r="N69" s="46"/>
      <c r="O69" s="46"/>
      <c r="P69" s="46"/>
      <c r="Q69" s="46"/>
      <c r="R69" s="46"/>
      <c r="S69" s="47" t="str">
        <f aca="false">IF(COUNT(G69:L69)=0,"",SUM(G69:L69))</f>
        <v/>
      </c>
      <c r="T69" s="48" t="str">
        <f aca="false">IF(COUNT(M69:R69)=0,"",SUM(M69:R69))</f>
        <v/>
      </c>
      <c r="U69" s="40"/>
      <c r="V69" s="42"/>
      <c r="Y69" s="49" t="str">
        <f aca="false">IF(AND(A69="",B69="",D69="",COUNT(G69:L69)=0),"",IF(D69="","Missing shooter",IF(A69="","Missing date",IF(B69="","Missing event",IF(E69="","Club not in roster (type manually)",IF(COUNT(G69:L69)=0,"No scores entered",IF(U69="","Set status (official/provisional)",IF(COUNTIFS($A$2:$A$101,A69,$B$2:$B$101,B69,$D$2:$D$101,D69)&gt;1,"Duplicate entry","OK to upload"))))))))</f>
        <v/>
      </c>
    </row>
    <row r="70" customFormat="false" ht="15" hidden="false" customHeight="true" outlineLevel="0" collapsed="false">
      <c r="A70" s="41"/>
      <c r="B70" s="40"/>
      <c r="C70" s="40"/>
      <c r="D70" s="40"/>
      <c r="E70" s="44" t="str">
        <f aca="false">IFERROR(IF(D70="","",VLOOKUP(D70,Members!$A$2:$C$16,2,FALSE())),"")</f>
        <v/>
      </c>
      <c r="F70" s="44" t="str">
        <f aca="false">IFERROR(IF(D70="","",VLOOKUP(D70,Members!$A$2:$C$16,3,FALSE())),"")</f>
        <v/>
      </c>
      <c r="G70" s="45"/>
      <c r="H70" s="45"/>
      <c r="I70" s="45"/>
      <c r="J70" s="45"/>
      <c r="K70" s="45"/>
      <c r="L70" s="45"/>
      <c r="M70" s="46"/>
      <c r="N70" s="46"/>
      <c r="O70" s="46"/>
      <c r="P70" s="46"/>
      <c r="Q70" s="46"/>
      <c r="R70" s="46"/>
      <c r="S70" s="47" t="str">
        <f aca="false">IF(COUNT(G70:L70)=0,"",SUM(G70:L70))</f>
        <v/>
      </c>
      <c r="T70" s="48" t="str">
        <f aca="false">IF(COUNT(M70:R70)=0,"",SUM(M70:R70))</f>
        <v/>
      </c>
      <c r="U70" s="40"/>
      <c r="V70" s="42"/>
      <c r="Y70" s="49" t="str">
        <f aca="false">IF(AND(A70="",B70="",D70="",COUNT(G70:L70)=0),"",IF(D70="","Missing shooter",IF(A70="","Missing date",IF(B70="","Missing event",IF(E70="","Club not in roster (type manually)",IF(COUNT(G70:L70)=0,"No scores entered",IF(U70="","Set status (official/provisional)",IF(COUNTIFS($A$2:$A$101,A70,$B$2:$B$101,B70,$D$2:$D$101,D70)&gt;1,"Duplicate entry","OK to upload"))))))))</f>
        <v/>
      </c>
    </row>
    <row r="71" customFormat="false" ht="15" hidden="false" customHeight="true" outlineLevel="0" collapsed="false">
      <c r="A71" s="41"/>
      <c r="B71" s="40"/>
      <c r="C71" s="40"/>
      <c r="D71" s="40"/>
      <c r="E71" s="44" t="str">
        <f aca="false">IFERROR(IF(D71="","",VLOOKUP(D71,Members!$A$2:$C$16,2,FALSE())),"")</f>
        <v/>
      </c>
      <c r="F71" s="44" t="str">
        <f aca="false">IFERROR(IF(D71="","",VLOOKUP(D71,Members!$A$2:$C$16,3,FALSE())),"")</f>
        <v/>
      </c>
      <c r="G71" s="45"/>
      <c r="H71" s="45"/>
      <c r="I71" s="45"/>
      <c r="J71" s="45"/>
      <c r="K71" s="45"/>
      <c r="L71" s="45"/>
      <c r="M71" s="46"/>
      <c r="N71" s="46"/>
      <c r="O71" s="46"/>
      <c r="P71" s="46"/>
      <c r="Q71" s="46"/>
      <c r="R71" s="46"/>
      <c r="S71" s="47" t="str">
        <f aca="false">IF(COUNT(G71:L71)=0,"",SUM(G71:L71))</f>
        <v/>
      </c>
      <c r="T71" s="48" t="str">
        <f aca="false">IF(COUNT(M71:R71)=0,"",SUM(M71:R71))</f>
        <v/>
      </c>
      <c r="U71" s="40"/>
      <c r="V71" s="42"/>
      <c r="Y71" s="49" t="str">
        <f aca="false">IF(AND(A71="",B71="",D71="",COUNT(G71:L71)=0),"",IF(D71="","Missing shooter",IF(A71="","Missing date",IF(B71="","Missing event",IF(E71="","Club not in roster (type manually)",IF(COUNT(G71:L71)=0,"No scores entered",IF(U71="","Set status (official/provisional)",IF(COUNTIFS($A$2:$A$101,A71,$B$2:$B$101,B71,$D$2:$D$101,D71)&gt;1,"Duplicate entry","OK to upload"))))))))</f>
        <v/>
      </c>
    </row>
    <row r="72" customFormat="false" ht="15" hidden="false" customHeight="true" outlineLevel="0" collapsed="false">
      <c r="A72" s="41"/>
      <c r="B72" s="40"/>
      <c r="C72" s="40"/>
      <c r="D72" s="40"/>
      <c r="E72" s="44" t="str">
        <f aca="false">IFERROR(IF(D72="","",VLOOKUP(D72,Members!$A$2:$C$16,2,FALSE())),"")</f>
        <v/>
      </c>
      <c r="F72" s="44" t="str">
        <f aca="false">IFERROR(IF(D72="","",VLOOKUP(D72,Members!$A$2:$C$16,3,FALSE())),"")</f>
        <v/>
      </c>
      <c r="G72" s="45"/>
      <c r="H72" s="45"/>
      <c r="I72" s="45"/>
      <c r="J72" s="45"/>
      <c r="K72" s="45"/>
      <c r="L72" s="45"/>
      <c r="M72" s="46"/>
      <c r="N72" s="46"/>
      <c r="O72" s="46"/>
      <c r="P72" s="46"/>
      <c r="Q72" s="46"/>
      <c r="R72" s="46"/>
      <c r="S72" s="47" t="str">
        <f aca="false">IF(COUNT(G72:L72)=0,"",SUM(G72:L72))</f>
        <v/>
      </c>
      <c r="T72" s="48" t="str">
        <f aca="false">IF(COUNT(M72:R72)=0,"",SUM(M72:R72))</f>
        <v/>
      </c>
      <c r="U72" s="40"/>
      <c r="V72" s="42"/>
      <c r="Y72" s="49" t="str">
        <f aca="false">IF(AND(A72="",B72="",D72="",COUNT(G72:L72)=0),"",IF(D72="","Missing shooter",IF(A72="","Missing date",IF(B72="","Missing event",IF(E72="","Club not in roster (type manually)",IF(COUNT(G72:L72)=0,"No scores entered",IF(U72="","Set status (official/provisional)",IF(COUNTIFS($A$2:$A$101,A72,$B$2:$B$101,B72,$D$2:$D$101,D72)&gt;1,"Duplicate entry","OK to upload"))))))))</f>
        <v/>
      </c>
    </row>
    <row r="73" customFormat="false" ht="15" hidden="false" customHeight="true" outlineLevel="0" collapsed="false">
      <c r="A73" s="41"/>
      <c r="B73" s="40"/>
      <c r="C73" s="40"/>
      <c r="D73" s="40"/>
      <c r="E73" s="44" t="str">
        <f aca="false">IFERROR(IF(D73="","",VLOOKUP(D73,Members!$A$2:$C$16,2,FALSE())),"")</f>
        <v/>
      </c>
      <c r="F73" s="44" t="str">
        <f aca="false">IFERROR(IF(D73="","",VLOOKUP(D73,Members!$A$2:$C$16,3,FALSE())),"")</f>
        <v/>
      </c>
      <c r="G73" s="45"/>
      <c r="H73" s="45"/>
      <c r="I73" s="45"/>
      <c r="J73" s="45"/>
      <c r="K73" s="45"/>
      <c r="L73" s="45"/>
      <c r="M73" s="46"/>
      <c r="N73" s="46"/>
      <c r="O73" s="46"/>
      <c r="P73" s="46"/>
      <c r="Q73" s="46"/>
      <c r="R73" s="46"/>
      <c r="S73" s="47" t="str">
        <f aca="false">IF(COUNT(G73:L73)=0,"",SUM(G73:L73))</f>
        <v/>
      </c>
      <c r="T73" s="48" t="str">
        <f aca="false">IF(COUNT(M73:R73)=0,"",SUM(M73:R73))</f>
        <v/>
      </c>
      <c r="U73" s="40"/>
      <c r="V73" s="42"/>
      <c r="Y73" s="49" t="str">
        <f aca="false">IF(AND(A73="",B73="",D73="",COUNT(G73:L73)=0),"",IF(D73="","Missing shooter",IF(A73="","Missing date",IF(B73="","Missing event",IF(E73="","Club not in roster (type manually)",IF(COUNT(G73:L73)=0,"No scores entered",IF(U73="","Set status (official/provisional)",IF(COUNTIFS($A$2:$A$101,A73,$B$2:$B$101,B73,$D$2:$D$101,D73)&gt;1,"Duplicate entry","OK to upload"))))))))</f>
        <v/>
      </c>
    </row>
    <row r="74" customFormat="false" ht="15" hidden="false" customHeight="true" outlineLevel="0" collapsed="false">
      <c r="A74" s="41"/>
      <c r="B74" s="40"/>
      <c r="C74" s="40"/>
      <c r="D74" s="40"/>
      <c r="E74" s="44" t="str">
        <f aca="false">IFERROR(IF(D74="","",VLOOKUP(D74,Members!$A$2:$C$16,2,FALSE())),"")</f>
        <v/>
      </c>
      <c r="F74" s="44" t="str">
        <f aca="false">IFERROR(IF(D74="","",VLOOKUP(D74,Members!$A$2:$C$16,3,FALSE())),"")</f>
        <v/>
      </c>
      <c r="G74" s="45"/>
      <c r="H74" s="45"/>
      <c r="I74" s="45"/>
      <c r="J74" s="45"/>
      <c r="K74" s="45"/>
      <c r="L74" s="45"/>
      <c r="M74" s="46"/>
      <c r="N74" s="46"/>
      <c r="O74" s="46"/>
      <c r="P74" s="46"/>
      <c r="Q74" s="46"/>
      <c r="R74" s="46"/>
      <c r="S74" s="47" t="str">
        <f aca="false">IF(COUNT(G74:L74)=0,"",SUM(G74:L74))</f>
        <v/>
      </c>
      <c r="T74" s="48" t="str">
        <f aca="false">IF(COUNT(M74:R74)=0,"",SUM(M74:R74))</f>
        <v/>
      </c>
      <c r="U74" s="40"/>
      <c r="V74" s="42"/>
      <c r="Y74" s="49" t="str">
        <f aca="false">IF(AND(A74="",B74="",D74="",COUNT(G74:L74)=0),"",IF(D74="","Missing shooter",IF(A74="","Missing date",IF(B74="","Missing event",IF(E74="","Club not in roster (type manually)",IF(COUNT(G74:L74)=0,"No scores entered",IF(U74="","Set status (official/provisional)",IF(COUNTIFS($A$2:$A$101,A74,$B$2:$B$101,B74,$D$2:$D$101,D74)&gt;1,"Duplicate entry","OK to upload"))))))))</f>
        <v/>
      </c>
    </row>
    <row r="75" customFormat="false" ht="15" hidden="false" customHeight="true" outlineLevel="0" collapsed="false">
      <c r="A75" s="41"/>
      <c r="B75" s="40"/>
      <c r="C75" s="40"/>
      <c r="D75" s="40"/>
      <c r="E75" s="44" t="str">
        <f aca="false">IFERROR(IF(D75="","",VLOOKUP(D75,Members!$A$2:$C$16,2,FALSE())),"")</f>
        <v/>
      </c>
      <c r="F75" s="44" t="str">
        <f aca="false">IFERROR(IF(D75="","",VLOOKUP(D75,Members!$A$2:$C$16,3,FALSE())),"")</f>
        <v/>
      </c>
      <c r="G75" s="45"/>
      <c r="H75" s="45"/>
      <c r="I75" s="45"/>
      <c r="J75" s="45"/>
      <c r="K75" s="45"/>
      <c r="L75" s="45"/>
      <c r="M75" s="46"/>
      <c r="N75" s="46"/>
      <c r="O75" s="46"/>
      <c r="P75" s="46"/>
      <c r="Q75" s="46"/>
      <c r="R75" s="46"/>
      <c r="S75" s="47" t="str">
        <f aca="false">IF(COUNT(G75:L75)=0,"",SUM(G75:L75))</f>
        <v/>
      </c>
      <c r="T75" s="48" t="str">
        <f aca="false">IF(COUNT(M75:R75)=0,"",SUM(M75:R75))</f>
        <v/>
      </c>
      <c r="U75" s="40"/>
      <c r="V75" s="42"/>
      <c r="Y75" s="49" t="str">
        <f aca="false">IF(AND(A75="",B75="",D75="",COUNT(G75:L75)=0),"",IF(D75="","Missing shooter",IF(A75="","Missing date",IF(B75="","Missing event",IF(E75="","Club not in roster (type manually)",IF(COUNT(G75:L75)=0,"No scores entered",IF(U75="","Set status (official/provisional)",IF(COUNTIFS($A$2:$A$101,A75,$B$2:$B$101,B75,$D$2:$D$101,D75)&gt;1,"Duplicate entry","OK to upload"))))))))</f>
        <v/>
      </c>
    </row>
    <row r="76" customFormat="false" ht="15" hidden="false" customHeight="true" outlineLevel="0" collapsed="false">
      <c r="A76" s="41"/>
      <c r="B76" s="40"/>
      <c r="C76" s="40"/>
      <c r="D76" s="40"/>
      <c r="E76" s="44" t="str">
        <f aca="false">IFERROR(IF(D76="","",VLOOKUP(D76,Members!$A$2:$C$16,2,FALSE())),"")</f>
        <v/>
      </c>
      <c r="F76" s="44" t="str">
        <f aca="false">IFERROR(IF(D76="","",VLOOKUP(D76,Members!$A$2:$C$16,3,FALSE())),"")</f>
        <v/>
      </c>
      <c r="G76" s="45"/>
      <c r="H76" s="45"/>
      <c r="I76" s="45"/>
      <c r="J76" s="45"/>
      <c r="K76" s="45"/>
      <c r="L76" s="45"/>
      <c r="M76" s="46"/>
      <c r="N76" s="46"/>
      <c r="O76" s="46"/>
      <c r="P76" s="46"/>
      <c r="Q76" s="46"/>
      <c r="R76" s="46"/>
      <c r="S76" s="47" t="str">
        <f aca="false">IF(COUNT(G76:L76)=0,"",SUM(G76:L76))</f>
        <v/>
      </c>
      <c r="T76" s="48" t="str">
        <f aca="false">IF(COUNT(M76:R76)=0,"",SUM(M76:R76))</f>
        <v/>
      </c>
      <c r="U76" s="40"/>
      <c r="V76" s="42"/>
      <c r="Y76" s="49" t="str">
        <f aca="false">IF(AND(A76="",B76="",D76="",COUNT(G76:L76)=0),"",IF(D76="","Missing shooter",IF(A76="","Missing date",IF(B76="","Missing event",IF(E76="","Club not in roster (type manually)",IF(COUNT(G76:L76)=0,"No scores entered",IF(U76="","Set status (official/provisional)",IF(COUNTIFS($A$2:$A$101,A76,$B$2:$B$101,B76,$D$2:$D$101,D76)&gt;1,"Duplicate entry","OK to upload"))))))))</f>
        <v/>
      </c>
    </row>
    <row r="77" customFormat="false" ht="15" hidden="false" customHeight="true" outlineLevel="0" collapsed="false">
      <c r="A77" s="41"/>
      <c r="B77" s="40"/>
      <c r="C77" s="40"/>
      <c r="D77" s="40"/>
      <c r="E77" s="44" t="str">
        <f aca="false">IFERROR(IF(D77="","",VLOOKUP(D77,Members!$A$2:$C$16,2,FALSE())),"")</f>
        <v/>
      </c>
      <c r="F77" s="44" t="str">
        <f aca="false">IFERROR(IF(D77="","",VLOOKUP(D77,Members!$A$2:$C$16,3,FALSE())),"")</f>
        <v/>
      </c>
      <c r="G77" s="45"/>
      <c r="H77" s="45"/>
      <c r="I77" s="45"/>
      <c r="J77" s="45"/>
      <c r="K77" s="45"/>
      <c r="L77" s="45"/>
      <c r="M77" s="46"/>
      <c r="N77" s="46"/>
      <c r="O77" s="46"/>
      <c r="P77" s="46"/>
      <c r="Q77" s="46"/>
      <c r="R77" s="46"/>
      <c r="S77" s="47" t="str">
        <f aca="false">IF(COUNT(G77:L77)=0,"",SUM(G77:L77))</f>
        <v/>
      </c>
      <c r="T77" s="48" t="str">
        <f aca="false">IF(COUNT(M77:R77)=0,"",SUM(M77:R77))</f>
        <v/>
      </c>
      <c r="U77" s="40"/>
      <c r="V77" s="42"/>
      <c r="Y77" s="49" t="str">
        <f aca="false">IF(AND(A77="",B77="",D77="",COUNT(G77:L77)=0),"",IF(D77="","Missing shooter",IF(A77="","Missing date",IF(B77="","Missing event",IF(E77="","Club not in roster (type manually)",IF(COUNT(G77:L77)=0,"No scores entered",IF(U77="","Set status (official/provisional)",IF(COUNTIFS($A$2:$A$101,A77,$B$2:$B$101,B77,$D$2:$D$101,D77)&gt;1,"Duplicate entry","OK to upload"))))))))</f>
        <v/>
      </c>
    </row>
    <row r="78" customFormat="false" ht="15" hidden="false" customHeight="true" outlineLevel="0" collapsed="false">
      <c r="A78" s="41"/>
      <c r="B78" s="40"/>
      <c r="C78" s="40"/>
      <c r="D78" s="40"/>
      <c r="E78" s="44" t="str">
        <f aca="false">IFERROR(IF(D78="","",VLOOKUP(D78,Members!$A$2:$C$16,2,FALSE())),"")</f>
        <v/>
      </c>
      <c r="F78" s="44" t="str">
        <f aca="false">IFERROR(IF(D78="","",VLOOKUP(D78,Members!$A$2:$C$16,3,FALSE())),"")</f>
        <v/>
      </c>
      <c r="G78" s="45"/>
      <c r="H78" s="45"/>
      <c r="I78" s="45"/>
      <c r="J78" s="45"/>
      <c r="K78" s="45"/>
      <c r="L78" s="45"/>
      <c r="M78" s="46"/>
      <c r="N78" s="46"/>
      <c r="O78" s="46"/>
      <c r="P78" s="46"/>
      <c r="Q78" s="46"/>
      <c r="R78" s="46"/>
      <c r="S78" s="47" t="str">
        <f aca="false">IF(COUNT(G78:L78)=0,"",SUM(G78:L78))</f>
        <v/>
      </c>
      <c r="T78" s="48" t="str">
        <f aca="false">IF(COUNT(M78:R78)=0,"",SUM(M78:R78))</f>
        <v/>
      </c>
      <c r="U78" s="40"/>
      <c r="V78" s="42"/>
      <c r="Y78" s="49" t="str">
        <f aca="false">IF(AND(A78="",B78="",D78="",COUNT(G78:L78)=0),"",IF(D78="","Missing shooter",IF(A78="","Missing date",IF(B78="","Missing event",IF(E78="","Club not in roster (type manually)",IF(COUNT(G78:L78)=0,"No scores entered",IF(U78="","Set status (official/provisional)",IF(COUNTIFS($A$2:$A$101,A78,$B$2:$B$101,B78,$D$2:$D$101,D78)&gt;1,"Duplicate entry","OK to upload"))))))))</f>
        <v/>
      </c>
    </row>
    <row r="79" customFormat="false" ht="15" hidden="false" customHeight="true" outlineLevel="0" collapsed="false">
      <c r="A79" s="41"/>
      <c r="B79" s="40"/>
      <c r="C79" s="40"/>
      <c r="D79" s="40"/>
      <c r="E79" s="44" t="str">
        <f aca="false">IFERROR(IF(D79="","",VLOOKUP(D79,Members!$A$2:$C$16,2,FALSE())),"")</f>
        <v/>
      </c>
      <c r="F79" s="44" t="str">
        <f aca="false">IFERROR(IF(D79="","",VLOOKUP(D79,Members!$A$2:$C$16,3,FALSE())),"")</f>
        <v/>
      </c>
      <c r="G79" s="45"/>
      <c r="H79" s="45"/>
      <c r="I79" s="45"/>
      <c r="J79" s="45"/>
      <c r="K79" s="45"/>
      <c r="L79" s="45"/>
      <c r="M79" s="46"/>
      <c r="N79" s="46"/>
      <c r="O79" s="46"/>
      <c r="P79" s="46"/>
      <c r="Q79" s="46"/>
      <c r="R79" s="46"/>
      <c r="S79" s="47" t="str">
        <f aca="false">IF(COUNT(G79:L79)=0,"",SUM(G79:L79))</f>
        <v/>
      </c>
      <c r="T79" s="48" t="str">
        <f aca="false">IF(COUNT(M79:R79)=0,"",SUM(M79:R79))</f>
        <v/>
      </c>
      <c r="U79" s="40"/>
      <c r="V79" s="42"/>
      <c r="Y79" s="49" t="str">
        <f aca="false">IF(AND(A79="",B79="",D79="",COUNT(G79:L79)=0),"",IF(D79="","Missing shooter",IF(A79="","Missing date",IF(B79="","Missing event",IF(E79="","Club not in roster (type manually)",IF(COUNT(G79:L79)=0,"No scores entered",IF(U79="","Set status (official/provisional)",IF(COUNTIFS($A$2:$A$101,A79,$B$2:$B$101,B79,$D$2:$D$101,D79)&gt;1,"Duplicate entry","OK to upload"))))))))</f>
        <v/>
      </c>
    </row>
    <row r="80" customFormat="false" ht="15" hidden="false" customHeight="true" outlineLevel="0" collapsed="false">
      <c r="A80" s="41"/>
      <c r="B80" s="40"/>
      <c r="C80" s="40"/>
      <c r="D80" s="40"/>
      <c r="E80" s="44" t="str">
        <f aca="false">IFERROR(IF(D80="","",VLOOKUP(D80,Members!$A$2:$C$16,2,FALSE())),"")</f>
        <v/>
      </c>
      <c r="F80" s="44" t="str">
        <f aca="false">IFERROR(IF(D80="","",VLOOKUP(D80,Members!$A$2:$C$16,3,FALSE())),"")</f>
        <v/>
      </c>
      <c r="G80" s="45"/>
      <c r="H80" s="45"/>
      <c r="I80" s="45"/>
      <c r="J80" s="45"/>
      <c r="K80" s="45"/>
      <c r="L80" s="45"/>
      <c r="M80" s="46"/>
      <c r="N80" s="46"/>
      <c r="O80" s="46"/>
      <c r="P80" s="46"/>
      <c r="Q80" s="46"/>
      <c r="R80" s="46"/>
      <c r="S80" s="47" t="str">
        <f aca="false">IF(COUNT(G80:L80)=0,"",SUM(G80:L80))</f>
        <v/>
      </c>
      <c r="T80" s="48" t="str">
        <f aca="false">IF(COUNT(M80:R80)=0,"",SUM(M80:R80))</f>
        <v/>
      </c>
      <c r="U80" s="40"/>
      <c r="V80" s="42"/>
      <c r="Y80" s="49" t="str">
        <f aca="false">IF(AND(A80="",B80="",D80="",COUNT(G80:L80)=0),"",IF(D80="","Missing shooter",IF(A80="","Missing date",IF(B80="","Missing event",IF(E80="","Club not in roster (type manually)",IF(COUNT(G80:L80)=0,"No scores entered",IF(U80="","Set status (official/provisional)",IF(COUNTIFS($A$2:$A$101,A80,$B$2:$B$101,B80,$D$2:$D$101,D80)&gt;1,"Duplicate entry","OK to upload"))))))))</f>
        <v/>
      </c>
    </row>
    <row r="81" customFormat="false" ht="15" hidden="false" customHeight="true" outlineLevel="0" collapsed="false">
      <c r="A81" s="41"/>
      <c r="B81" s="40"/>
      <c r="C81" s="40"/>
      <c r="D81" s="40"/>
      <c r="E81" s="44" t="str">
        <f aca="false">IFERROR(IF(D81="","",VLOOKUP(D81,Members!$A$2:$C$16,2,FALSE())),"")</f>
        <v/>
      </c>
      <c r="F81" s="44" t="str">
        <f aca="false">IFERROR(IF(D81="","",VLOOKUP(D81,Members!$A$2:$C$16,3,FALSE())),"")</f>
        <v/>
      </c>
      <c r="G81" s="45"/>
      <c r="H81" s="45"/>
      <c r="I81" s="45"/>
      <c r="J81" s="45"/>
      <c r="K81" s="45"/>
      <c r="L81" s="45"/>
      <c r="M81" s="46"/>
      <c r="N81" s="46"/>
      <c r="O81" s="46"/>
      <c r="P81" s="46"/>
      <c r="Q81" s="46"/>
      <c r="R81" s="46"/>
      <c r="S81" s="47" t="str">
        <f aca="false">IF(COUNT(G81:L81)=0,"",SUM(G81:L81))</f>
        <v/>
      </c>
      <c r="T81" s="48" t="str">
        <f aca="false">IF(COUNT(M81:R81)=0,"",SUM(M81:R81))</f>
        <v/>
      </c>
      <c r="U81" s="40"/>
      <c r="V81" s="42"/>
      <c r="Y81" s="49" t="str">
        <f aca="false">IF(AND(A81="",B81="",D81="",COUNT(G81:L81)=0),"",IF(D81="","Missing shooter",IF(A81="","Missing date",IF(B81="","Missing event",IF(E81="","Club not in roster (type manually)",IF(COUNT(G81:L81)=0,"No scores entered",IF(U81="","Set status (official/provisional)",IF(COUNTIFS($A$2:$A$101,A81,$B$2:$B$101,B81,$D$2:$D$101,D81)&gt;1,"Duplicate entry","OK to upload"))))))))</f>
        <v/>
      </c>
    </row>
    <row r="82" customFormat="false" ht="15" hidden="false" customHeight="true" outlineLevel="0" collapsed="false">
      <c r="A82" s="41"/>
      <c r="B82" s="40"/>
      <c r="C82" s="40"/>
      <c r="D82" s="40"/>
      <c r="E82" s="44" t="str">
        <f aca="false">IFERROR(IF(D82="","",VLOOKUP(D82,Members!$A$2:$C$16,2,FALSE())),"")</f>
        <v/>
      </c>
      <c r="F82" s="44" t="str">
        <f aca="false">IFERROR(IF(D82="","",VLOOKUP(D82,Members!$A$2:$C$16,3,FALSE())),"")</f>
        <v/>
      </c>
      <c r="G82" s="45"/>
      <c r="H82" s="45"/>
      <c r="I82" s="45"/>
      <c r="J82" s="45"/>
      <c r="K82" s="45"/>
      <c r="L82" s="45"/>
      <c r="M82" s="46"/>
      <c r="N82" s="46"/>
      <c r="O82" s="46"/>
      <c r="P82" s="46"/>
      <c r="Q82" s="46"/>
      <c r="R82" s="46"/>
      <c r="S82" s="47" t="str">
        <f aca="false">IF(COUNT(G82:L82)=0,"",SUM(G82:L82))</f>
        <v/>
      </c>
      <c r="T82" s="48" t="str">
        <f aca="false">IF(COUNT(M82:R82)=0,"",SUM(M82:R82))</f>
        <v/>
      </c>
      <c r="U82" s="40"/>
      <c r="V82" s="42"/>
      <c r="Y82" s="49" t="str">
        <f aca="false">IF(AND(A82="",B82="",D82="",COUNT(G82:L82)=0),"",IF(D82="","Missing shooter",IF(A82="","Missing date",IF(B82="","Missing event",IF(E82="","Club not in roster (type manually)",IF(COUNT(G82:L82)=0,"No scores entered",IF(U82="","Set status (official/provisional)",IF(COUNTIFS($A$2:$A$101,A82,$B$2:$B$101,B82,$D$2:$D$101,D82)&gt;1,"Duplicate entry","OK to upload"))))))))</f>
        <v/>
      </c>
    </row>
    <row r="83" customFormat="false" ht="15" hidden="false" customHeight="true" outlineLevel="0" collapsed="false">
      <c r="A83" s="41"/>
      <c r="B83" s="40"/>
      <c r="C83" s="40"/>
      <c r="D83" s="40"/>
      <c r="E83" s="44" t="str">
        <f aca="false">IFERROR(IF(D83="","",VLOOKUP(D83,Members!$A$2:$C$16,2,FALSE())),"")</f>
        <v/>
      </c>
      <c r="F83" s="44" t="str">
        <f aca="false">IFERROR(IF(D83="","",VLOOKUP(D83,Members!$A$2:$C$16,3,FALSE())),"")</f>
        <v/>
      </c>
      <c r="G83" s="45"/>
      <c r="H83" s="45"/>
      <c r="I83" s="45"/>
      <c r="J83" s="45"/>
      <c r="K83" s="45"/>
      <c r="L83" s="45"/>
      <c r="M83" s="46"/>
      <c r="N83" s="46"/>
      <c r="O83" s="46"/>
      <c r="P83" s="46"/>
      <c r="Q83" s="46"/>
      <c r="R83" s="46"/>
      <c r="S83" s="47" t="str">
        <f aca="false">IF(COUNT(G83:L83)=0,"",SUM(G83:L83))</f>
        <v/>
      </c>
      <c r="T83" s="48" t="str">
        <f aca="false">IF(COUNT(M83:R83)=0,"",SUM(M83:R83))</f>
        <v/>
      </c>
      <c r="U83" s="40"/>
      <c r="V83" s="42"/>
      <c r="Y83" s="49" t="str">
        <f aca="false">IF(AND(A83="",B83="",D83="",COUNT(G83:L83)=0),"",IF(D83="","Missing shooter",IF(A83="","Missing date",IF(B83="","Missing event",IF(E83="","Club not in roster (type manually)",IF(COUNT(G83:L83)=0,"No scores entered",IF(U83="","Set status (official/provisional)",IF(COUNTIFS($A$2:$A$101,A83,$B$2:$B$101,B83,$D$2:$D$101,D83)&gt;1,"Duplicate entry","OK to upload"))))))))</f>
        <v/>
      </c>
    </row>
    <row r="84" customFormat="false" ht="15" hidden="false" customHeight="true" outlineLevel="0" collapsed="false">
      <c r="A84" s="41"/>
      <c r="B84" s="40"/>
      <c r="C84" s="40"/>
      <c r="D84" s="40"/>
      <c r="E84" s="44" t="str">
        <f aca="false">IFERROR(IF(D84="","",VLOOKUP(D84,Members!$A$2:$C$16,2,FALSE())),"")</f>
        <v/>
      </c>
      <c r="F84" s="44" t="str">
        <f aca="false">IFERROR(IF(D84="","",VLOOKUP(D84,Members!$A$2:$C$16,3,FALSE())),"")</f>
        <v/>
      </c>
      <c r="G84" s="45"/>
      <c r="H84" s="45"/>
      <c r="I84" s="45"/>
      <c r="J84" s="45"/>
      <c r="K84" s="45"/>
      <c r="L84" s="45"/>
      <c r="M84" s="46"/>
      <c r="N84" s="46"/>
      <c r="O84" s="46"/>
      <c r="P84" s="46"/>
      <c r="Q84" s="46"/>
      <c r="R84" s="46"/>
      <c r="S84" s="47" t="str">
        <f aca="false">IF(COUNT(G84:L84)=0,"",SUM(G84:L84))</f>
        <v/>
      </c>
      <c r="T84" s="48" t="str">
        <f aca="false">IF(COUNT(M84:R84)=0,"",SUM(M84:R84))</f>
        <v/>
      </c>
      <c r="U84" s="40"/>
      <c r="V84" s="42"/>
      <c r="Y84" s="49" t="str">
        <f aca="false">IF(AND(A84="",B84="",D84="",COUNT(G84:L84)=0),"",IF(D84="","Missing shooter",IF(A84="","Missing date",IF(B84="","Missing event",IF(E84="","Club not in roster (type manually)",IF(COUNT(G84:L84)=0,"No scores entered",IF(U84="","Set status (official/provisional)",IF(COUNTIFS($A$2:$A$101,A84,$B$2:$B$101,B84,$D$2:$D$101,D84)&gt;1,"Duplicate entry","OK to upload"))))))))</f>
        <v/>
      </c>
    </row>
    <row r="85" customFormat="false" ht="15" hidden="false" customHeight="true" outlineLevel="0" collapsed="false">
      <c r="A85" s="41"/>
      <c r="B85" s="40"/>
      <c r="C85" s="40"/>
      <c r="D85" s="40"/>
      <c r="E85" s="44" t="str">
        <f aca="false">IFERROR(IF(D85="","",VLOOKUP(D85,Members!$A$2:$C$16,2,FALSE())),"")</f>
        <v/>
      </c>
      <c r="F85" s="44" t="str">
        <f aca="false">IFERROR(IF(D85="","",VLOOKUP(D85,Members!$A$2:$C$16,3,FALSE())),"")</f>
        <v/>
      </c>
      <c r="G85" s="45"/>
      <c r="H85" s="45"/>
      <c r="I85" s="45"/>
      <c r="J85" s="45"/>
      <c r="K85" s="45"/>
      <c r="L85" s="45"/>
      <c r="M85" s="46"/>
      <c r="N85" s="46"/>
      <c r="O85" s="46"/>
      <c r="P85" s="46"/>
      <c r="Q85" s="46"/>
      <c r="R85" s="46"/>
      <c r="S85" s="47" t="str">
        <f aca="false">IF(COUNT(G85:L85)=0,"",SUM(G85:L85))</f>
        <v/>
      </c>
      <c r="T85" s="48" t="str">
        <f aca="false">IF(COUNT(M85:R85)=0,"",SUM(M85:R85))</f>
        <v/>
      </c>
      <c r="U85" s="40"/>
      <c r="V85" s="42"/>
      <c r="Y85" s="49" t="str">
        <f aca="false">IF(AND(A85="",B85="",D85="",COUNT(G85:L85)=0),"",IF(D85="","Missing shooter",IF(A85="","Missing date",IF(B85="","Missing event",IF(E85="","Club not in roster (type manually)",IF(COUNT(G85:L85)=0,"No scores entered",IF(U85="","Set status (official/provisional)",IF(COUNTIFS($A$2:$A$101,A85,$B$2:$B$101,B85,$D$2:$D$101,D85)&gt;1,"Duplicate entry","OK to upload"))))))))</f>
        <v/>
      </c>
    </row>
    <row r="86" customFormat="false" ht="15" hidden="false" customHeight="true" outlineLevel="0" collapsed="false">
      <c r="A86" s="41"/>
      <c r="B86" s="40"/>
      <c r="C86" s="40"/>
      <c r="D86" s="40"/>
      <c r="E86" s="44" t="str">
        <f aca="false">IFERROR(IF(D86="","",VLOOKUP(D86,Members!$A$2:$C$16,2,FALSE())),"")</f>
        <v/>
      </c>
      <c r="F86" s="44" t="str">
        <f aca="false">IFERROR(IF(D86="","",VLOOKUP(D86,Members!$A$2:$C$16,3,FALSE())),"")</f>
        <v/>
      </c>
      <c r="G86" s="45"/>
      <c r="H86" s="45"/>
      <c r="I86" s="45"/>
      <c r="J86" s="45"/>
      <c r="K86" s="45"/>
      <c r="L86" s="45"/>
      <c r="M86" s="46"/>
      <c r="N86" s="46"/>
      <c r="O86" s="46"/>
      <c r="P86" s="46"/>
      <c r="Q86" s="46"/>
      <c r="R86" s="46"/>
      <c r="S86" s="47" t="str">
        <f aca="false">IF(COUNT(G86:L86)=0,"",SUM(G86:L86))</f>
        <v/>
      </c>
      <c r="T86" s="48" t="str">
        <f aca="false">IF(COUNT(M86:R86)=0,"",SUM(M86:R86))</f>
        <v/>
      </c>
      <c r="U86" s="40"/>
      <c r="V86" s="42"/>
      <c r="Y86" s="49" t="str">
        <f aca="false">IF(AND(A86="",B86="",D86="",COUNT(G86:L86)=0),"",IF(D86="","Missing shooter",IF(A86="","Missing date",IF(B86="","Missing event",IF(E86="","Club not in roster (type manually)",IF(COUNT(G86:L86)=0,"No scores entered",IF(U86="","Set status (official/provisional)",IF(COUNTIFS($A$2:$A$101,A86,$B$2:$B$101,B86,$D$2:$D$101,D86)&gt;1,"Duplicate entry","OK to upload"))))))))</f>
        <v/>
      </c>
    </row>
    <row r="87" customFormat="false" ht="15" hidden="false" customHeight="true" outlineLevel="0" collapsed="false">
      <c r="A87" s="41"/>
      <c r="B87" s="40"/>
      <c r="C87" s="40"/>
      <c r="D87" s="40"/>
      <c r="E87" s="44" t="str">
        <f aca="false">IFERROR(IF(D87="","",VLOOKUP(D87,Members!$A$2:$C$16,2,FALSE())),"")</f>
        <v/>
      </c>
      <c r="F87" s="44" t="str">
        <f aca="false">IFERROR(IF(D87="","",VLOOKUP(D87,Members!$A$2:$C$16,3,FALSE())),"")</f>
        <v/>
      </c>
      <c r="G87" s="45"/>
      <c r="H87" s="45"/>
      <c r="I87" s="45"/>
      <c r="J87" s="45"/>
      <c r="K87" s="45"/>
      <c r="L87" s="45"/>
      <c r="M87" s="46"/>
      <c r="N87" s="46"/>
      <c r="O87" s="46"/>
      <c r="P87" s="46"/>
      <c r="Q87" s="46"/>
      <c r="R87" s="46"/>
      <c r="S87" s="47" t="str">
        <f aca="false">IF(COUNT(G87:L87)=0,"",SUM(G87:L87))</f>
        <v/>
      </c>
      <c r="T87" s="48" t="str">
        <f aca="false">IF(COUNT(M87:R87)=0,"",SUM(M87:R87))</f>
        <v/>
      </c>
      <c r="U87" s="40"/>
      <c r="V87" s="42"/>
      <c r="Y87" s="49" t="str">
        <f aca="false">IF(AND(A87="",B87="",D87="",COUNT(G87:L87)=0),"",IF(D87="","Missing shooter",IF(A87="","Missing date",IF(B87="","Missing event",IF(E87="","Club not in roster (type manually)",IF(COUNT(G87:L87)=0,"No scores entered",IF(U87="","Set status (official/provisional)",IF(COUNTIFS($A$2:$A$101,A87,$B$2:$B$101,B87,$D$2:$D$101,D87)&gt;1,"Duplicate entry","OK to upload"))))))))</f>
        <v/>
      </c>
    </row>
    <row r="88" customFormat="false" ht="15" hidden="false" customHeight="true" outlineLevel="0" collapsed="false">
      <c r="A88" s="41"/>
      <c r="B88" s="40"/>
      <c r="C88" s="40"/>
      <c r="D88" s="40"/>
      <c r="E88" s="44" t="str">
        <f aca="false">IFERROR(IF(D88="","",VLOOKUP(D88,Members!$A$2:$C$16,2,FALSE())),"")</f>
        <v/>
      </c>
      <c r="F88" s="44" t="str">
        <f aca="false">IFERROR(IF(D88="","",VLOOKUP(D88,Members!$A$2:$C$16,3,FALSE())),"")</f>
        <v/>
      </c>
      <c r="G88" s="45"/>
      <c r="H88" s="45"/>
      <c r="I88" s="45"/>
      <c r="J88" s="45"/>
      <c r="K88" s="45"/>
      <c r="L88" s="45"/>
      <c r="M88" s="46"/>
      <c r="N88" s="46"/>
      <c r="O88" s="46"/>
      <c r="P88" s="46"/>
      <c r="Q88" s="46"/>
      <c r="R88" s="46"/>
      <c r="S88" s="47" t="str">
        <f aca="false">IF(COUNT(G88:L88)=0,"",SUM(G88:L88))</f>
        <v/>
      </c>
      <c r="T88" s="48" t="str">
        <f aca="false">IF(COUNT(M88:R88)=0,"",SUM(M88:R88))</f>
        <v/>
      </c>
      <c r="U88" s="40"/>
      <c r="V88" s="42"/>
      <c r="Y88" s="49" t="str">
        <f aca="false">IF(AND(A88="",B88="",D88="",COUNT(G88:L88)=0),"",IF(D88="","Missing shooter",IF(A88="","Missing date",IF(B88="","Missing event",IF(E88="","Club not in roster (type manually)",IF(COUNT(G88:L88)=0,"No scores entered",IF(U88="","Set status (official/provisional)",IF(COUNTIFS($A$2:$A$101,A88,$B$2:$B$101,B88,$D$2:$D$101,D88)&gt;1,"Duplicate entry","OK to upload"))))))))</f>
        <v/>
      </c>
    </row>
    <row r="89" customFormat="false" ht="15" hidden="false" customHeight="true" outlineLevel="0" collapsed="false">
      <c r="A89" s="41"/>
      <c r="B89" s="40"/>
      <c r="C89" s="40"/>
      <c r="D89" s="40"/>
      <c r="E89" s="44" t="str">
        <f aca="false">IFERROR(IF(D89="","",VLOOKUP(D89,Members!$A$2:$C$16,2,FALSE())),"")</f>
        <v/>
      </c>
      <c r="F89" s="44" t="str">
        <f aca="false">IFERROR(IF(D89="","",VLOOKUP(D89,Members!$A$2:$C$16,3,FALSE())),"")</f>
        <v/>
      </c>
      <c r="G89" s="45"/>
      <c r="H89" s="45"/>
      <c r="I89" s="45"/>
      <c r="J89" s="45"/>
      <c r="K89" s="45"/>
      <c r="L89" s="45"/>
      <c r="M89" s="46"/>
      <c r="N89" s="46"/>
      <c r="O89" s="46"/>
      <c r="P89" s="46"/>
      <c r="Q89" s="46"/>
      <c r="R89" s="46"/>
      <c r="S89" s="47" t="str">
        <f aca="false">IF(COUNT(G89:L89)=0,"",SUM(G89:L89))</f>
        <v/>
      </c>
      <c r="T89" s="48" t="str">
        <f aca="false">IF(COUNT(M89:R89)=0,"",SUM(M89:R89))</f>
        <v/>
      </c>
      <c r="U89" s="40"/>
      <c r="V89" s="42"/>
      <c r="Y89" s="49" t="str">
        <f aca="false">IF(AND(A89="",B89="",D89="",COUNT(G89:L89)=0),"",IF(D89="","Missing shooter",IF(A89="","Missing date",IF(B89="","Missing event",IF(E89="","Club not in roster (type manually)",IF(COUNT(G89:L89)=0,"No scores entered",IF(U89="","Set status (official/provisional)",IF(COUNTIFS($A$2:$A$101,A89,$B$2:$B$101,B89,$D$2:$D$101,D89)&gt;1,"Duplicate entry","OK to upload"))))))))</f>
        <v/>
      </c>
    </row>
    <row r="90" customFormat="false" ht="15" hidden="false" customHeight="true" outlineLevel="0" collapsed="false">
      <c r="A90" s="41"/>
      <c r="B90" s="40"/>
      <c r="C90" s="40"/>
      <c r="D90" s="40"/>
      <c r="E90" s="44" t="str">
        <f aca="false">IFERROR(IF(D90="","",VLOOKUP(D90,Members!$A$2:$C$16,2,FALSE())),"")</f>
        <v/>
      </c>
      <c r="F90" s="44" t="str">
        <f aca="false">IFERROR(IF(D90="","",VLOOKUP(D90,Members!$A$2:$C$16,3,FALSE())),"")</f>
        <v/>
      </c>
      <c r="G90" s="45"/>
      <c r="H90" s="45"/>
      <c r="I90" s="45"/>
      <c r="J90" s="45"/>
      <c r="K90" s="45"/>
      <c r="L90" s="45"/>
      <c r="M90" s="46"/>
      <c r="N90" s="46"/>
      <c r="O90" s="46"/>
      <c r="P90" s="46"/>
      <c r="Q90" s="46"/>
      <c r="R90" s="46"/>
      <c r="S90" s="47" t="str">
        <f aca="false">IF(COUNT(G90:L90)=0,"",SUM(G90:L90))</f>
        <v/>
      </c>
      <c r="T90" s="48" t="str">
        <f aca="false">IF(COUNT(M90:R90)=0,"",SUM(M90:R90))</f>
        <v/>
      </c>
      <c r="U90" s="40"/>
      <c r="V90" s="42"/>
      <c r="Y90" s="49" t="str">
        <f aca="false">IF(AND(A90="",B90="",D90="",COUNT(G90:L90)=0),"",IF(D90="","Missing shooter",IF(A90="","Missing date",IF(B90="","Missing event",IF(E90="","Club not in roster (type manually)",IF(COUNT(G90:L90)=0,"No scores entered",IF(U90="","Set status (official/provisional)",IF(COUNTIFS($A$2:$A$101,A90,$B$2:$B$101,B90,$D$2:$D$101,D90)&gt;1,"Duplicate entry","OK to upload"))))))))</f>
        <v/>
      </c>
    </row>
    <row r="91" customFormat="false" ht="15" hidden="false" customHeight="true" outlineLevel="0" collapsed="false">
      <c r="A91" s="41"/>
      <c r="B91" s="40"/>
      <c r="C91" s="40"/>
      <c r="D91" s="40"/>
      <c r="E91" s="44" t="str">
        <f aca="false">IFERROR(IF(D91="","",VLOOKUP(D91,Members!$A$2:$C$16,2,FALSE())),"")</f>
        <v/>
      </c>
      <c r="F91" s="44" t="str">
        <f aca="false">IFERROR(IF(D91="","",VLOOKUP(D91,Members!$A$2:$C$16,3,FALSE())),"")</f>
        <v/>
      </c>
      <c r="G91" s="45"/>
      <c r="H91" s="45"/>
      <c r="I91" s="45"/>
      <c r="J91" s="45"/>
      <c r="K91" s="45"/>
      <c r="L91" s="45"/>
      <c r="M91" s="46"/>
      <c r="N91" s="46"/>
      <c r="O91" s="46"/>
      <c r="P91" s="46"/>
      <c r="Q91" s="46"/>
      <c r="R91" s="46"/>
      <c r="S91" s="47" t="str">
        <f aca="false">IF(COUNT(G91:L91)=0,"",SUM(G91:L91))</f>
        <v/>
      </c>
      <c r="T91" s="48" t="str">
        <f aca="false">IF(COUNT(M91:R91)=0,"",SUM(M91:R91))</f>
        <v/>
      </c>
      <c r="U91" s="40"/>
      <c r="V91" s="42"/>
      <c r="Y91" s="49" t="str">
        <f aca="false">IF(AND(A91="",B91="",D91="",COUNT(G91:L91)=0),"",IF(D91="","Missing shooter",IF(A91="","Missing date",IF(B91="","Missing event",IF(E91="","Club not in roster (type manually)",IF(COUNT(G91:L91)=0,"No scores entered",IF(U91="","Set status (official/provisional)",IF(COUNTIFS($A$2:$A$101,A91,$B$2:$B$101,B91,$D$2:$D$101,D91)&gt;1,"Duplicate entry","OK to upload"))))))))</f>
        <v/>
      </c>
    </row>
    <row r="92" customFormat="false" ht="15" hidden="false" customHeight="true" outlineLevel="0" collapsed="false">
      <c r="A92" s="41"/>
      <c r="B92" s="40"/>
      <c r="C92" s="40"/>
      <c r="D92" s="40"/>
      <c r="E92" s="44" t="str">
        <f aca="false">IFERROR(IF(D92="","",VLOOKUP(D92,Members!$A$2:$C$16,2,FALSE())),"")</f>
        <v/>
      </c>
      <c r="F92" s="44" t="str">
        <f aca="false">IFERROR(IF(D92="","",VLOOKUP(D92,Members!$A$2:$C$16,3,FALSE())),"")</f>
        <v/>
      </c>
      <c r="G92" s="45"/>
      <c r="H92" s="45"/>
      <c r="I92" s="45"/>
      <c r="J92" s="45"/>
      <c r="K92" s="45"/>
      <c r="L92" s="45"/>
      <c r="M92" s="46"/>
      <c r="N92" s="46"/>
      <c r="O92" s="46"/>
      <c r="P92" s="46"/>
      <c r="Q92" s="46"/>
      <c r="R92" s="46"/>
      <c r="S92" s="47" t="str">
        <f aca="false">IF(COUNT(G92:L92)=0,"",SUM(G92:L92))</f>
        <v/>
      </c>
      <c r="T92" s="48" t="str">
        <f aca="false">IF(COUNT(M92:R92)=0,"",SUM(M92:R92))</f>
        <v/>
      </c>
      <c r="U92" s="40"/>
      <c r="V92" s="42"/>
      <c r="Y92" s="49" t="str">
        <f aca="false">IF(AND(A92="",B92="",D92="",COUNT(G92:L92)=0),"",IF(D92="","Missing shooter",IF(A92="","Missing date",IF(B92="","Missing event",IF(E92="","Club not in roster (type manually)",IF(COUNT(G92:L92)=0,"No scores entered",IF(U92="","Set status (official/provisional)",IF(COUNTIFS($A$2:$A$101,A92,$B$2:$B$101,B92,$D$2:$D$101,D92)&gt;1,"Duplicate entry","OK to upload"))))))))</f>
        <v/>
      </c>
    </row>
    <row r="93" customFormat="false" ht="15" hidden="false" customHeight="true" outlineLevel="0" collapsed="false">
      <c r="A93" s="41"/>
      <c r="B93" s="40"/>
      <c r="C93" s="40"/>
      <c r="D93" s="40"/>
      <c r="E93" s="44" t="str">
        <f aca="false">IFERROR(IF(D93="","",VLOOKUP(D93,Members!$A$2:$C$16,2,FALSE())),"")</f>
        <v/>
      </c>
      <c r="F93" s="44" t="str">
        <f aca="false">IFERROR(IF(D93="","",VLOOKUP(D93,Members!$A$2:$C$16,3,FALSE())),"")</f>
        <v/>
      </c>
      <c r="G93" s="45"/>
      <c r="H93" s="45"/>
      <c r="I93" s="45"/>
      <c r="J93" s="45"/>
      <c r="K93" s="45"/>
      <c r="L93" s="45"/>
      <c r="M93" s="46"/>
      <c r="N93" s="46"/>
      <c r="O93" s="46"/>
      <c r="P93" s="46"/>
      <c r="Q93" s="46"/>
      <c r="R93" s="46"/>
      <c r="S93" s="47" t="str">
        <f aca="false">IF(COUNT(G93:L93)=0,"",SUM(G93:L93))</f>
        <v/>
      </c>
      <c r="T93" s="48" t="str">
        <f aca="false">IF(COUNT(M93:R93)=0,"",SUM(M93:R93))</f>
        <v/>
      </c>
      <c r="U93" s="40"/>
      <c r="V93" s="42"/>
      <c r="Y93" s="49" t="str">
        <f aca="false">IF(AND(A93="",B93="",D93="",COUNT(G93:L93)=0),"",IF(D93="","Missing shooter",IF(A93="","Missing date",IF(B93="","Missing event",IF(E93="","Club not in roster (type manually)",IF(COUNT(G93:L93)=0,"No scores entered",IF(U93="","Set status (official/provisional)",IF(COUNTIFS($A$2:$A$101,A93,$B$2:$B$101,B93,$D$2:$D$101,D93)&gt;1,"Duplicate entry","OK to upload"))))))))</f>
        <v/>
      </c>
    </row>
    <row r="94" customFormat="false" ht="15" hidden="false" customHeight="true" outlineLevel="0" collapsed="false">
      <c r="A94" s="41"/>
      <c r="B94" s="40"/>
      <c r="C94" s="40"/>
      <c r="D94" s="40"/>
      <c r="E94" s="44" t="str">
        <f aca="false">IFERROR(IF(D94="","",VLOOKUP(D94,Members!$A$2:$C$16,2,FALSE())),"")</f>
        <v/>
      </c>
      <c r="F94" s="44" t="str">
        <f aca="false">IFERROR(IF(D94="","",VLOOKUP(D94,Members!$A$2:$C$16,3,FALSE())),"")</f>
        <v/>
      </c>
      <c r="G94" s="45"/>
      <c r="H94" s="45"/>
      <c r="I94" s="45"/>
      <c r="J94" s="45"/>
      <c r="K94" s="45"/>
      <c r="L94" s="45"/>
      <c r="M94" s="46"/>
      <c r="N94" s="46"/>
      <c r="O94" s="46"/>
      <c r="P94" s="46"/>
      <c r="Q94" s="46"/>
      <c r="R94" s="46"/>
      <c r="S94" s="47" t="str">
        <f aca="false">IF(COUNT(G94:L94)=0,"",SUM(G94:L94))</f>
        <v/>
      </c>
      <c r="T94" s="48" t="str">
        <f aca="false">IF(COUNT(M94:R94)=0,"",SUM(M94:R94))</f>
        <v/>
      </c>
      <c r="U94" s="40"/>
      <c r="V94" s="42"/>
      <c r="Y94" s="49" t="str">
        <f aca="false">IF(AND(A94="",B94="",D94="",COUNT(G94:L94)=0),"",IF(D94="","Missing shooter",IF(A94="","Missing date",IF(B94="","Missing event",IF(E94="","Club not in roster (type manually)",IF(COUNT(G94:L94)=0,"No scores entered",IF(U94="","Set status (official/provisional)",IF(COUNTIFS($A$2:$A$101,A94,$B$2:$B$101,B94,$D$2:$D$101,D94)&gt;1,"Duplicate entry","OK to upload"))))))))</f>
        <v/>
      </c>
    </row>
    <row r="95" customFormat="false" ht="15" hidden="false" customHeight="true" outlineLevel="0" collapsed="false">
      <c r="A95" s="41"/>
      <c r="B95" s="40"/>
      <c r="C95" s="40"/>
      <c r="D95" s="40"/>
      <c r="E95" s="44" t="str">
        <f aca="false">IFERROR(IF(D95="","",VLOOKUP(D95,Members!$A$2:$C$16,2,FALSE())),"")</f>
        <v/>
      </c>
      <c r="F95" s="44" t="str">
        <f aca="false">IFERROR(IF(D95="","",VLOOKUP(D95,Members!$A$2:$C$16,3,FALSE())),"")</f>
        <v/>
      </c>
      <c r="G95" s="45"/>
      <c r="H95" s="45"/>
      <c r="I95" s="45"/>
      <c r="J95" s="45"/>
      <c r="K95" s="45"/>
      <c r="L95" s="45"/>
      <c r="M95" s="46"/>
      <c r="N95" s="46"/>
      <c r="O95" s="46"/>
      <c r="P95" s="46"/>
      <c r="Q95" s="46"/>
      <c r="R95" s="46"/>
      <c r="S95" s="47" t="str">
        <f aca="false">IF(COUNT(G95:L95)=0,"",SUM(G95:L95))</f>
        <v/>
      </c>
      <c r="T95" s="48" t="str">
        <f aca="false">IF(COUNT(M95:R95)=0,"",SUM(M95:R95))</f>
        <v/>
      </c>
      <c r="U95" s="40"/>
      <c r="V95" s="42"/>
      <c r="Y95" s="49" t="str">
        <f aca="false">IF(AND(A95="",B95="",D95="",COUNT(G95:L95)=0),"",IF(D95="","Missing shooter",IF(A95="","Missing date",IF(B95="","Missing event",IF(E95="","Club not in roster (type manually)",IF(COUNT(G95:L95)=0,"No scores entered",IF(U95="","Set status (official/provisional)",IF(COUNTIFS($A$2:$A$101,A95,$B$2:$B$101,B95,$D$2:$D$101,D95)&gt;1,"Duplicate entry","OK to upload"))))))))</f>
        <v/>
      </c>
    </row>
    <row r="96" customFormat="false" ht="15" hidden="false" customHeight="true" outlineLevel="0" collapsed="false">
      <c r="A96" s="41"/>
      <c r="B96" s="40"/>
      <c r="C96" s="40"/>
      <c r="D96" s="40"/>
      <c r="E96" s="44" t="str">
        <f aca="false">IFERROR(IF(D96="","",VLOOKUP(D96,Members!$A$2:$C$16,2,FALSE())),"")</f>
        <v/>
      </c>
      <c r="F96" s="44" t="str">
        <f aca="false">IFERROR(IF(D96="","",VLOOKUP(D96,Members!$A$2:$C$16,3,FALSE())),"")</f>
        <v/>
      </c>
      <c r="G96" s="45"/>
      <c r="H96" s="45"/>
      <c r="I96" s="45"/>
      <c r="J96" s="45"/>
      <c r="K96" s="45"/>
      <c r="L96" s="45"/>
      <c r="M96" s="46"/>
      <c r="N96" s="46"/>
      <c r="O96" s="46"/>
      <c r="P96" s="46"/>
      <c r="Q96" s="46"/>
      <c r="R96" s="46"/>
      <c r="S96" s="47" t="str">
        <f aca="false">IF(COUNT(G96:L96)=0,"",SUM(G96:L96))</f>
        <v/>
      </c>
      <c r="T96" s="48" t="str">
        <f aca="false">IF(COUNT(M96:R96)=0,"",SUM(M96:R96))</f>
        <v/>
      </c>
      <c r="U96" s="40"/>
      <c r="V96" s="42"/>
      <c r="Y96" s="49" t="str">
        <f aca="false">IF(AND(A96="",B96="",D96="",COUNT(G96:L96)=0),"",IF(D96="","Missing shooter",IF(A96="","Missing date",IF(B96="","Missing event",IF(E96="","Club not in roster (type manually)",IF(COUNT(G96:L96)=0,"No scores entered",IF(U96="","Set status (official/provisional)",IF(COUNTIFS($A$2:$A$101,A96,$B$2:$B$101,B96,$D$2:$D$101,D96)&gt;1,"Duplicate entry","OK to upload"))))))))</f>
        <v/>
      </c>
    </row>
    <row r="97" customFormat="false" ht="15" hidden="false" customHeight="true" outlineLevel="0" collapsed="false">
      <c r="A97" s="41"/>
      <c r="B97" s="40"/>
      <c r="C97" s="40"/>
      <c r="D97" s="40"/>
      <c r="E97" s="44" t="str">
        <f aca="false">IFERROR(IF(D97="","",VLOOKUP(D97,Members!$A$2:$C$16,2,FALSE())),"")</f>
        <v/>
      </c>
      <c r="F97" s="44" t="str">
        <f aca="false">IFERROR(IF(D97="","",VLOOKUP(D97,Members!$A$2:$C$16,3,FALSE())),"")</f>
        <v/>
      </c>
      <c r="G97" s="45"/>
      <c r="H97" s="45"/>
      <c r="I97" s="45"/>
      <c r="J97" s="45"/>
      <c r="K97" s="45"/>
      <c r="L97" s="45"/>
      <c r="M97" s="46"/>
      <c r="N97" s="46"/>
      <c r="O97" s="46"/>
      <c r="P97" s="46"/>
      <c r="Q97" s="46"/>
      <c r="R97" s="46"/>
      <c r="S97" s="47" t="str">
        <f aca="false">IF(COUNT(G97:L97)=0,"",SUM(G97:L97))</f>
        <v/>
      </c>
      <c r="T97" s="48" t="str">
        <f aca="false">IF(COUNT(M97:R97)=0,"",SUM(M97:R97))</f>
        <v/>
      </c>
      <c r="U97" s="40"/>
      <c r="V97" s="42"/>
      <c r="Y97" s="49" t="str">
        <f aca="false">IF(AND(A97="",B97="",D97="",COUNT(G97:L97)=0),"",IF(D97="","Missing shooter",IF(A97="","Missing date",IF(B97="","Missing event",IF(E97="","Club not in roster (type manually)",IF(COUNT(G97:L97)=0,"No scores entered",IF(U97="","Set status (official/provisional)",IF(COUNTIFS($A$2:$A$101,A97,$B$2:$B$101,B97,$D$2:$D$101,D97)&gt;1,"Duplicate entry","OK to upload"))))))))</f>
        <v/>
      </c>
    </row>
    <row r="98" customFormat="false" ht="15" hidden="false" customHeight="true" outlineLevel="0" collapsed="false">
      <c r="A98" s="41"/>
      <c r="B98" s="40"/>
      <c r="C98" s="40"/>
      <c r="D98" s="40"/>
      <c r="E98" s="44" t="str">
        <f aca="false">IFERROR(IF(D98="","",VLOOKUP(D98,Members!$A$2:$C$16,2,FALSE())),"")</f>
        <v/>
      </c>
      <c r="F98" s="44" t="str">
        <f aca="false">IFERROR(IF(D98="","",VLOOKUP(D98,Members!$A$2:$C$16,3,FALSE())),"")</f>
        <v/>
      </c>
      <c r="G98" s="45"/>
      <c r="H98" s="45"/>
      <c r="I98" s="45"/>
      <c r="J98" s="45"/>
      <c r="K98" s="45"/>
      <c r="L98" s="45"/>
      <c r="M98" s="46"/>
      <c r="N98" s="46"/>
      <c r="O98" s="46"/>
      <c r="P98" s="46"/>
      <c r="Q98" s="46"/>
      <c r="R98" s="46"/>
      <c r="S98" s="47" t="str">
        <f aca="false">IF(COUNT(G98:L98)=0,"",SUM(G98:L98))</f>
        <v/>
      </c>
      <c r="T98" s="48" t="str">
        <f aca="false">IF(COUNT(M98:R98)=0,"",SUM(M98:R98))</f>
        <v/>
      </c>
      <c r="U98" s="40"/>
      <c r="V98" s="42"/>
      <c r="Y98" s="49" t="str">
        <f aca="false">IF(AND(A98="",B98="",D98="",COUNT(G98:L98)=0),"",IF(D98="","Missing shooter",IF(A98="","Missing date",IF(B98="","Missing event",IF(E98="","Club not in roster (type manually)",IF(COUNT(G98:L98)=0,"No scores entered",IF(U98="","Set status (official/provisional)",IF(COUNTIFS($A$2:$A$101,A98,$B$2:$B$101,B98,$D$2:$D$101,D98)&gt;1,"Duplicate entry","OK to upload"))))))))</f>
        <v/>
      </c>
    </row>
    <row r="99" customFormat="false" ht="15" hidden="false" customHeight="true" outlineLevel="0" collapsed="false">
      <c r="A99" s="41"/>
      <c r="B99" s="40"/>
      <c r="C99" s="40"/>
      <c r="D99" s="40"/>
      <c r="E99" s="44" t="str">
        <f aca="false">IFERROR(IF(D99="","",VLOOKUP(D99,Members!$A$2:$C$16,2,FALSE())),"")</f>
        <v/>
      </c>
      <c r="F99" s="44" t="str">
        <f aca="false">IFERROR(IF(D99="","",VLOOKUP(D99,Members!$A$2:$C$16,3,FALSE())),"")</f>
        <v/>
      </c>
      <c r="G99" s="45"/>
      <c r="H99" s="45"/>
      <c r="I99" s="45"/>
      <c r="J99" s="45"/>
      <c r="K99" s="45"/>
      <c r="L99" s="45"/>
      <c r="M99" s="46"/>
      <c r="N99" s="46"/>
      <c r="O99" s="46"/>
      <c r="P99" s="46"/>
      <c r="Q99" s="46"/>
      <c r="R99" s="46"/>
      <c r="S99" s="47" t="str">
        <f aca="false">IF(COUNT(G99:L99)=0,"",SUM(G99:L99))</f>
        <v/>
      </c>
      <c r="T99" s="48" t="str">
        <f aca="false">IF(COUNT(M99:R99)=0,"",SUM(M99:R99))</f>
        <v/>
      </c>
      <c r="U99" s="40"/>
      <c r="V99" s="42"/>
      <c r="Y99" s="49" t="str">
        <f aca="false">IF(AND(A99="",B99="",D99="",COUNT(G99:L99)=0),"",IF(D99="","Missing shooter",IF(A99="","Missing date",IF(B99="","Missing event",IF(E99="","Club not in roster (type manually)",IF(COUNT(G99:L99)=0,"No scores entered",IF(U99="","Set status (official/provisional)",IF(COUNTIFS($A$2:$A$101,A99,$B$2:$B$101,B99,$D$2:$D$101,D99)&gt;1,"Duplicate entry","OK to upload"))))))))</f>
        <v/>
      </c>
    </row>
    <row r="100" customFormat="false" ht="15" hidden="false" customHeight="true" outlineLevel="0" collapsed="false">
      <c r="A100" s="41"/>
      <c r="B100" s="40"/>
      <c r="C100" s="40"/>
      <c r="D100" s="40"/>
      <c r="E100" s="44" t="str">
        <f aca="false">IFERROR(IF(D100="","",VLOOKUP(D100,Members!$A$2:$C$16,2,FALSE())),"")</f>
        <v/>
      </c>
      <c r="F100" s="44" t="str">
        <f aca="false">IFERROR(IF(D100="","",VLOOKUP(D100,Members!$A$2:$C$16,3,FALSE())),"")</f>
        <v/>
      </c>
      <c r="G100" s="45"/>
      <c r="H100" s="45"/>
      <c r="I100" s="45"/>
      <c r="J100" s="45"/>
      <c r="K100" s="45"/>
      <c r="L100" s="45"/>
      <c r="M100" s="46"/>
      <c r="N100" s="46"/>
      <c r="O100" s="46"/>
      <c r="P100" s="46"/>
      <c r="Q100" s="46"/>
      <c r="R100" s="46"/>
      <c r="S100" s="47" t="str">
        <f aca="false">IF(COUNT(G100:L100)=0,"",SUM(G100:L100))</f>
        <v/>
      </c>
      <c r="T100" s="48" t="str">
        <f aca="false">IF(COUNT(M100:R100)=0,"",SUM(M100:R100))</f>
        <v/>
      </c>
      <c r="U100" s="40"/>
      <c r="V100" s="42"/>
      <c r="Y100" s="49" t="str">
        <f aca="false">IF(AND(A100="",B100="",D100="",COUNT(G100:L100)=0),"",IF(D100="","Missing shooter",IF(A100="","Missing date",IF(B100="","Missing event",IF(E100="","Club not in roster (type manually)",IF(COUNT(G100:L100)=0,"No scores entered",IF(U100="","Set status (official/provisional)",IF(COUNTIFS($A$2:$A$101,A100,$B$2:$B$101,B100,$D$2:$D$101,D100)&gt;1,"Duplicate entry","OK to upload"))))))))</f>
        <v/>
      </c>
    </row>
    <row r="101" customFormat="false" ht="15" hidden="false" customHeight="true" outlineLevel="0" collapsed="false">
      <c r="A101" s="41"/>
      <c r="B101" s="40"/>
      <c r="C101" s="40"/>
      <c r="D101" s="40"/>
      <c r="E101" s="44" t="str">
        <f aca="false">IFERROR(IF(D101="","",VLOOKUP(D101,Members!$A$2:$C$16,2,FALSE())),"")</f>
        <v/>
      </c>
      <c r="F101" s="44" t="str">
        <f aca="false">IFERROR(IF(D101="","",VLOOKUP(D101,Members!$A$2:$C$16,3,FALSE())),"")</f>
        <v/>
      </c>
      <c r="G101" s="45"/>
      <c r="H101" s="45"/>
      <c r="I101" s="45"/>
      <c r="J101" s="45"/>
      <c r="K101" s="45"/>
      <c r="L101" s="45"/>
      <c r="M101" s="46"/>
      <c r="N101" s="46"/>
      <c r="O101" s="46"/>
      <c r="P101" s="46"/>
      <c r="Q101" s="46"/>
      <c r="R101" s="46"/>
      <c r="S101" s="47" t="str">
        <f aca="false">IF(COUNT(G101:L101)=0,"",SUM(G101:L101))</f>
        <v/>
      </c>
      <c r="T101" s="48" t="str">
        <f aca="false">IF(COUNT(M101:R101)=0,"",SUM(M101:R101))</f>
        <v/>
      </c>
      <c r="U101" s="40"/>
      <c r="V101" s="42"/>
      <c r="Y101" s="49" t="str">
        <f aca="false">IF(AND(A101="",B101="",D101="",COUNT(G101:L101)=0),"",IF(D101="","Missing shooter",IF(A101="","Missing date",IF(B101="","Missing event",IF(E101="","Club not in roster (type manually)",IF(COUNT(G101:L101)=0,"No scores entered",IF(U101="","Set status (official/provisional)",IF(COUNTIFS($A$2:$A$101,A101,$B$2:$B$101,B101,$D$2:$D$101,D101)&gt;1,"Duplicate entry","OK to upload"))))))))</f>
        <v/>
      </c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A2:Y101">
    <cfRule type="expression" priority="2" aboveAverage="0" equalAverage="0" bottom="0" percent="0" rank="0" text="" dxfId="0">
      <formula>$Y2="OK to upload"</formula>
    </cfRule>
    <cfRule type="expression" priority="3" aboveAverage="0" equalAverage="0" bottom="0" percent="0" rank="0" text="" dxfId="1">
      <formula>AND($Y2&lt;&gt;"",$Y2&lt;&gt;"OK to upload")</formula>
    </cfRule>
  </conditionalFormatting>
  <dataValidations count="8">
    <dataValidation allowBlank="true" errorStyle="stop" operator="between" showDropDown="false" showErrorMessage="false" showInputMessage="false" sqref="A2:A101" type="list">
      <formula1>Dates!$A$1:$A$730</formula1>
      <formula2>0</formula2>
    </dataValidation>
    <dataValidation allowBlank="true" errorStyle="stop" operator="lessThanOrEqual" prompt="Too high - A 10-shot decimal series cannot exceed 109.0" showDropDown="false" showErrorMessage="true" showInputMessage="true" sqref="G2:L101" type="decimal">
      <formula1>109</formula1>
      <formula2>0</formula2>
    </dataValidation>
    <dataValidation allowBlank="true" errorStyle="stop" operator="between" showDropDown="false" showErrorMessage="false" showInputMessage="false" sqref="D2:D101" type="list">
      <formula1>Members!$A$2:$A$16</formula1>
      <formula2>0</formula2>
    </dataValidation>
    <dataValidation allowBlank="true" errorStyle="stop" operator="between" showDropDown="false" showErrorMessage="false" showInputMessage="false" sqref="E2:E101" type="list">
      <formula1>"Modderbee,SATRF Club,Pretoria RC,Bloem Marksmen,Cape Rifle Club"</formula1>
      <formula2>0</formula2>
    </dataValidation>
    <dataValidation allowBlank="true" errorStyle="stop" operator="lessThanOrEqual" prompt="Too high - Ring total per series max 100" showDropDown="false" showErrorMessage="true" showInputMessage="true" sqref="M2:R101" type="decimal">
      <formula1>100</formula1>
      <formula2>0</formula2>
    </dataValidation>
    <dataValidation allowBlank="true" errorStyle="stop" operator="between" showDropDown="false" showErrorMessage="false" showInputMessage="false" sqref="U2:U101" type="list">
      <formula1>"official,provisional"</formula1>
      <formula2>0</formula2>
    </dataValidation>
    <dataValidation allowBlank="true" errorStyle="stop" operator="between" showDropDown="false" showErrorMessage="false" showInputMessage="false" sqref="F2:F101" type="list">
      <formula1>"open,junior,veteran,ladies"</formula1>
      <formula2>0</formula2>
    </dataValidation>
    <dataValidation allowBlank="true" errorStyle="stop" operator="between" showDropDown="false" showErrorMessage="false" showInputMessage="false" sqref="C2:C101" type="list">
      <formula1>"prone_50m"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18" min="7" style="1" width="8"/>
    <col collapsed="false" customWidth="true" hidden="false" outlineLevel="0" max="20" min="19" style="1" width="11"/>
    <col collapsed="false" customWidth="true" hidden="false" outlineLevel="0" max="21" min="21" style="1" width="12"/>
    <col collapsed="false" customWidth="true" hidden="false" outlineLevel="0" max="22" min="22" style="1" width="28"/>
    <col collapsed="false" customWidth="true" hidden="false" outlineLevel="0" max="24" min="23" style="1" width="8.71"/>
    <col collapsed="false" customWidth="true" hidden="false" outlineLevel="0" max="25" min="25" style="1" width="26"/>
    <col collapsed="false" customWidth="true" hidden="false" outlineLevel="0" max="26" min="26" style="1" width="8.71"/>
  </cols>
  <sheetData>
    <row r="1" customFormat="false" ht="30" hidden="false" customHeight="true" outlineLevel="0" collapsed="false">
      <c r="A1" s="39" t="s">
        <v>90</v>
      </c>
      <c r="B1" s="39" t="s">
        <v>91</v>
      </c>
      <c r="C1" s="39" t="s">
        <v>55</v>
      </c>
      <c r="D1" s="39" t="s">
        <v>92</v>
      </c>
      <c r="E1" s="39" t="s">
        <v>93</v>
      </c>
      <c r="F1" s="39" t="s">
        <v>65</v>
      </c>
      <c r="G1" s="39" t="s">
        <v>94</v>
      </c>
      <c r="H1" s="39" t="s">
        <v>95</v>
      </c>
      <c r="I1" s="39" t="s">
        <v>96</v>
      </c>
      <c r="J1" s="39" t="s">
        <v>97</v>
      </c>
      <c r="K1" s="39" t="s">
        <v>98</v>
      </c>
      <c r="L1" s="39" t="s">
        <v>99</v>
      </c>
      <c r="M1" s="39" t="s">
        <v>100</v>
      </c>
      <c r="N1" s="39" t="s">
        <v>101</v>
      </c>
      <c r="O1" s="39" t="s">
        <v>102</v>
      </c>
      <c r="P1" s="39" t="s">
        <v>103</v>
      </c>
      <c r="Q1" s="39" t="s">
        <v>104</v>
      </c>
      <c r="R1" s="39" t="s">
        <v>105</v>
      </c>
      <c r="S1" s="39" t="s">
        <v>106</v>
      </c>
      <c r="T1" s="39" t="s">
        <v>107</v>
      </c>
      <c r="U1" s="39" t="s">
        <v>23</v>
      </c>
      <c r="V1" s="39" t="s">
        <v>77</v>
      </c>
      <c r="X1" s="43"/>
      <c r="Y1" s="39" t="s">
        <v>108</v>
      </c>
    </row>
    <row r="2" customFormat="false" ht="15" hidden="false" customHeight="true" outlineLevel="0" collapsed="false">
      <c r="A2" s="41" t="s">
        <v>116</v>
      </c>
      <c r="B2" s="40" t="s">
        <v>117</v>
      </c>
      <c r="C2" s="40" t="s">
        <v>118</v>
      </c>
      <c r="D2" s="40" t="s">
        <v>119</v>
      </c>
      <c r="E2" s="44" t="str">
        <f aca="false">IFERROR(IF(D2="","",VLOOKUP(D2,Members!$A$2:$C$16,2,FALSE())),"")</f>
        <v>Pretoria RC</v>
      </c>
      <c r="F2" s="44" t="str">
        <f aca="false">IFERROR(IF(D2="","",VLOOKUP(D2,Members!$A$2:$C$16,3,FALSE())),"")</f>
        <v>open</v>
      </c>
      <c r="G2" s="45" t="n">
        <v>99</v>
      </c>
      <c r="H2" s="45" t="n">
        <v>98</v>
      </c>
      <c r="I2" s="45" t="n">
        <v>100</v>
      </c>
      <c r="J2" s="45" t="n">
        <v>97</v>
      </c>
      <c r="K2" s="45" t="n">
        <v>99</v>
      </c>
      <c r="L2" s="45" t="n">
        <v>98</v>
      </c>
      <c r="M2" s="46" t="n">
        <v>49</v>
      </c>
      <c r="N2" s="46" t="n">
        <v>48</v>
      </c>
      <c r="O2" s="46" t="n">
        <v>50</v>
      </c>
      <c r="P2" s="46" t="n">
        <v>47</v>
      </c>
      <c r="Q2" s="46" t="n">
        <v>49</v>
      </c>
      <c r="R2" s="46" t="n">
        <v>48</v>
      </c>
      <c r="S2" s="47" t="n">
        <f aca="false">IF(COUNT(G2:L2)=0,"",SUM(G2:L2))</f>
        <v>591</v>
      </c>
      <c r="T2" s="48" t="n">
        <f aca="false">IF(COUNT(M2:R2)=0,"",SUM(M2:R2))</f>
        <v>291</v>
      </c>
      <c r="U2" s="40" t="s">
        <v>111</v>
      </c>
      <c r="V2" s="42" t="s">
        <v>120</v>
      </c>
      <c r="Y2" s="49" t="str">
        <f aca="false">IF(AND(A2="",B2="",D2="",COUNT(G2:L2)=0),"",IF(D2="","Missing shooter",IF(A2="","Missing date",IF(B2="","Missing event",IF(E2="","Club not in roster (type manually)",IF(COUNT(G2:L2)=0,"No scores entered",IF(U2="","Set status (official/provisional)",IF(COUNTIFS($A$2:$A$101,A2,$B$2:$B$101,B2,$D$2:$D$101,D2)&gt;1,"Duplicate entry","OK to upload"))))))))</f>
        <v>OK to upload</v>
      </c>
    </row>
    <row r="3" customFormat="false" ht="15" hidden="false" customHeight="true" outlineLevel="0" collapsed="false">
      <c r="A3" s="41"/>
      <c r="B3" s="40"/>
      <c r="C3" s="40"/>
      <c r="D3" s="40"/>
      <c r="E3" s="44" t="str">
        <f aca="false">IFERROR(IF(D3="","",VLOOKUP(D3,Members!$A$2:$C$16,2,FALSE())),"")</f>
        <v/>
      </c>
      <c r="F3" s="44" t="str">
        <f aca="false">IFERROR(IF(D3="","",VLOOKUP(D3,Members!$A$2:$C$16,3,FALSE())),"")</f>
        <v/>
      </c>
      <c r="G3" s="45"/>
      <c r="H3" s="45"/>
      <c r="I3" s="45"/>
      <c r="J3" s="45"/>
      <c r="K3" s="45"/>
      <c r="L3" s="45"/>
      <c r="M3" s="46"/>
      <c r="N3" s="46"/>
      <c r="O3" s="46"/>
      <c r="P3" s="46"/>
      <c r="Q3" s="46"/>
      <c r="R3" s="46"/>
      <c r="S3" s="47" t="str">
        <f aca="false">IF(COUNT(G3:L3)=0,"",SUM(G3:L3))</f>
        <v/>
      </c>
      <c r="T3" s="48" t="str">
        <f aca="false">IF(COUNT(M3:R3)=0,"",SUM(M3:R3))</f>
        <v/>
      </c>
      <c r="U3" s="40"/>
      <c r="V3" s="42"/>
      <c r="Y3" s="49" t="str">
        <f aca="false">IF(AND(A3="",B3="",D3="",COUNT(G3:L3)=0),"",IF(D3="","Missing shooter",IF(A3="","Missing date",IF(B3="","Missing event",IF(E3="","Club not in roster (type manually)",IF(COUNT(G3:L3)=0,"No scores entered",IF(U3="","Set status (official/provisional)",IF(COUNTIFS($A$2:$A$101,A3,$B$2:$B$101,B3,$D$2:$D$101,D3)&gt;1,"Duplicate entry","OK to upload"))))))))</f>
        <v/>
      </c>
    </row>
    <row r="4" customFormat="false" ht="15" hidden="false" customHeight="true" outlineLevel="0" collapsed="false">
      <c r="A4" s="41"/>
      <c r="B4" s="40"/>
      <c r="C4" s="40"/>
      <c r="D4" s="40"/>
      <c r="E4" s="44" t="str">
        <f aca="false">IFERROR(IF(D4="","",VLOOKUP(D4,Members!$A$2:$C$16,2,FALSE())),"")</f>
        <v/>
      </c>
      <c r="F4" s="44" t="str">
        <f aca="false">IFERROR(IF(D4="","",VLOOKUP(D4,Members!$A$2:$C$16,3,FALSE())),"")</f>
        <v/>
      </c>
      <c r="G4" s="45"/>
      <c r="H4" s="45"/>
      <c r="I4" s="45"/>
      <c r="J4" s="45"/>
      <c r="K4" s="45"/>
      <c r="L4" s="45"/>
      <c r="M4" s="46"/>
      <c r="N4" s="46"/>
      <c r="O4" s="46"/>
      <c r="P4" s="46"/>
      <c r="Q4" s="46"/>
      <c r="R4" s="46"/>
      <c r="S4" s="47" t="str">
        <f aca="false">IF(COUNT(G4:L4)=0,"",SUM(G4:L4))</f>
        <v/>
      </c>
      <c r="T4" s="48" t="str">
        <f aca="false">IF(COUNT(M4:R4)=0,"",SUM(M4:R4))</f>
        <v/>
      </c>
      <c r="U4" s="40"/>
      <c r="V4" s="42"/>
      <c r="Y4" s="49" t="str">
        <f aca="false">IF(AND(A4="",B4="",D4="",COUNT(G4:L4)=0),"",IF(D4="","Missing shooter",IF(A4="","Missing date",IF(B4="","Missing event",IF(E4="","Club not in roster (type manually)",IF(COUNT(G4:L4)=0,"No scores entered",IF(U4="","Set status (official/provisional)",IF(COUNTIFS($A$2:$A$101,A4,$B$2:$B$101,B4,$D$2:$D$101,D4)&gt;1,"Duplicate entry","OK to upload"))))))))</f>
        <v/>
      </c>
    </row>
    <row r="5" customFormat="false" ht="15" hidden="false" customHeight="true" outlineLevel="0" collapsed="false">
      <c r="A5" s="41"/>
      <c r="B5" s="40"/>
      <c r="C5" s="40"/>
      <c r="D5" s="40"/>
      <c r="E5" s="44" t="str">
        <f aca="false">IFERROR(IF(D5="","",VLOOKUP(D5,Members!$A$2:$C$16,2,FALSE())),"")</f>
        <v/>
      </c>
      <c r="F5" s="44" t="str">
        <f aca="false">IFERROR(IF(D5="","",VLOOKUP(D5,Members!$A$2:$C$16,3,FALSE())),"")</f>
        <v/>
      </c>
      <c r="G5" s="45"/>
      <c r="H5" s="45"/>
      <c r="I5" s="45"/>
      <c r="J5" s="45"/>
      <c r="K5" s="45"/>
      <c r="L5" s="45"/>
      <c r="M5" s="46"/>
      <c r="N5" s="46"/>
      <c r="O5" s="46"/>
      <c r="P5" s="46"/>
      <c r="Q5" s="46"/>
      <c r="R5" s="46"/>
      <c r="S5" s="47" t="str">
        <f aca="false">IF(COUNT(G5:L5)=0,"",SUM(G5:L5))</f>
        <v/>
      </c>
      <c r="T5" s="48" t="str">
        <f aca="false">IF(COUNT(M5:R5)=0,"",SUM(M5:R5))</f>
        <v/>
      </c>
      <c r="U5" s="40"/>
      <c r="V5" s="42"/>
      <c r="Y5" s="49" t="str">
        <f aca="false">IF(AND(A5="",B5="",D5="",COUNT(G5:L5)=0),"",IF(D5="","Missing shooter",IF(A5="","Missing date",IF(B5="","Missing event",IF(E5="","Club not in roster (type manually)",IF(COUNT(G5:L5)=0,"No scores entered",IF(U5="","Set status (official/provisional)",IF(COUNTIFS($A$2:$A$101,A5,$B$2:$B$101,B5,$D$2:$D$101,D5)&gt;1,"Duplicate entry","OK to upload"))))))))</f>
        <v/>
      </c>
    </row>
    <row r="6" customFormat="false" ht="15" hidden="false" customHeight="true" outlineLevel="0" collapsed="false">
      <c r="A6" s="41"/>
      <c r="B6" s="40"/>
      <c r="C6" s="40"/>
      <c r="D6" s="40"/>
      <c r="E6" s="44" t="str">
        <f aca="false">IFERROR(IF(D6="","",VLOOKUP(D6,Members!$A$2:$C$16,2,FALSE())),"")</f>
        <v/>
      </c>
      <c r="F6" s="44" t="str">
        <f aca="false">IFERROR(IF(D6="","",VLOOKUP(D6,Members!$A$2:$C$16,3,FALSE())),"")</f>
        <v/>
      </c>
      <c r="G6" s="45"/>
      <c r="H6" s="45"/>
      <c r="I6" s="45"/>
      <c r="J6" s="45"/>
      <c r="K6" s="45"/>
      <c r="L6" s="45"/>
      <c r="M6" s="46"/>
      <c r="N6" s="46"/>
      <c r="O6" s="46"/>
      <c r="P6" s="46"/>
      <c r="Q6" s="46"/>
      <c r="R6" s="46"/>
      <c r="S6" s="47" t="str">
        <f aca="false">IF(COUNT(G6:L6)=0,"",SUM(G6:L6))</f>
        <v/>
      </c>
      <c r="T6" s="48" t="str">
        <f aca="false">IF(COUNT(M6:R6)=0,"",SUM(M6:R6))</f>
        <v/>
      </c>
      <c r="U6" s="40"/>
      <c r="V6" s="42"/>
      <c r="Y6" s="49" t="str">
        <f aca="false">IF(AND(A6="",B6="",D6="",COUNT(G6:L6)=0),"",IF(D6="","Missing shooter",IF(A6="","Missing date",IF(B6="","Missing event",IF(E6="","Club not in roster (type manually)",IF(COUNT(G6:L6)=0,"No scores entered",IF(U6="","Set status (official/provisional)",IF(COUNTIFS($A$2:$A$101,A6,$B$2:$B$101,B6,$D$2:$D$101,D6)&gt;1,"Duplicate entry","OK to upload"))))))))</f>
        <v/>
      </c>
    </row>
    <row r="7" customFormat="false" ht="15" hidden="false" customHeight="true" outlineLevel="0" collapsed="false">
      <c r="A7" s="41"/>
      <c r="B7" s="40"/>
      <c r="C7" s="40"/>
      <c r="D7" s="40"/>
      <c r="E7" s="44" t="str">
        <f aca="false">IFERROR(IF(D7="","",VLOOKUP(D7,Members!$A$2:$C$16,2,FALSE())),"")</f>
        <v/>
      </c>
      <c r="F7" s="44" t="str">
        <f aca="false">IFERROR(IF(D7="","",VLOOKUP(D7,Members!$A$2:$C$16,3,FALSE())),"")</f>
        <v/>
      </c>
      <c r="G7" s="45"/>
      <c r="H7" s="45"/>
      <c r="I7" s="45"/>
      <c r="J7" s="45"/>
      <c r="K7" s="45"/>
      <c r="L7" s="45"/>
      <c r="M7" s="46"/>
      <c r="N7" s="46"/>
      <c r="O7" s="46"/>
      <c r="P7" s="46"/>
      <c r="Q7" s="46"/>
      <c r="R7" s="46"/>
      <c r="S7" s="47" t="str">
        <f aca="false">IF(COUNT(G7:L7)=0,"",SUM(G7:L7))</f>
        <v/>
      </c>
      <c r="T7" s="48" t="str">
        <f aca="false">IF(COUNT(M7:R7)=0,"",SUM(M7:R7))</f>
        <v/>
      </c>
      <c r="U7" s="40"/>
      <c r="V7" s="42"/>
      <c r="Y7" s="49" t="str">
        <f aca="false">IF(AND(A7="",B7="",D7="",COUNT(G7:L7)=0),"",IF(D7="","Missing shooter",IF(A7="","Missing date",IF(B7="","Missing event",IF(E7="","Club not in roster (type manually)",IF(COUNT(G7:L7)=0,"No scores entered",IF(U7="","Set status (official/provisional)",IF(COUNTIFS($A$2:$A$101,A7,$B$2:$B$101,B7,$D$2:$D$101,D7)&gt;1,"Duplicate entry","OK to upload"))))))))</f>
        <v/>
      </c>
    </row>
    <row r="8" customFormat="false" ht="15" hidden="false" customHeight="true" outlineLevel="0" collapsed="false">
      <c r="A8" s="41"/>
      <c r="B8" s="40"/>
      <c r="C8" s="40"/>
      <c r="D8" s="40"/>
      <c r="E8" s="44" t="str">
        <f aca="false">IFERROR(IF(D8="","",VLOOKUP(D8,Members!$A$2:$C$16,2,FALSE())),"")</f>
        <v/>
      </c>
      <c r="F8" s="44" t="str">
        <f aca="false">IFERROR(IF(D8="","",VLOOKUP(D8,Members!$A$2:$C$16,3,FALSE())),"")</f>
        <v/>
      </c>
      <c r="G8" s="45"/>
      <c r="H8" s="45"/>
      <c r="I8" s="45"/>
      <c r="J8" s="45"/>
      <c r="K8" s="45"/>
      <c r="L8" s="45"/>
      <c r="M8" s="46"/>
      <c r="N8" s="46"/>
      <c r="O8" s="46"/>
      <c r="P8" s="46"/>
      <c r="Q8" s="46"/>
      <c r="R8" s="46"/>
      <c r="S8" s="47" t="str">
        <f aca="false">IF(COUNT(G8:L8)=0,"",SUM(G8:L8))</f>
        <v/>
      </c>
      <c r="T8" s="48" t="str">
        <f aca="false">IF(COUNT(M8:R8)=0,"",SUM(M8:R8))</f>
        <v/>
      </c>
      <c r="U8" s="40"/>
      <c r="V8" s="42"/>
      <c r="Y8" s="49" t="str">
        <f aca="false">IF(AND(A8="",B8="",D8="",COUNT(G8:L8)=0),"",IF(D8="","Missing shooter",IF(A8="","Missing date",IF(B8="","Missing event",IF(E8="","Club not in roster (type manually)",IF(COUNT(G8:L8)=0,"No scores entered",IF(U8="","Set status (official/provisional)",IF(COUNTIFS($A$2:$A$101,A8,$B$2:$B$101,B8,$D$2:$D$101,D8)&gt;1,"Duplicate entry","OK to upload"))))))))</f>
        <v/>
      </c>
    </row>
    <row r="9" customFormat="false" ht="15" hidden="false" customHeight="true" outlineLevel="0" collapsed="false">
      <c r="A9" s="41"/>
      <c r="B9" s="40"/>
      <c r="C9" s="40"/>
      <c r="D9" s="40"/>
      <c r="E9" s="44" t="str">
        <f aca="false">IFERROR(IF(D9="","",VLOOKUP(D9,Members!$A$2:$C$16,2,FALSE())),"")</f>
        <v/>
      </c>
      <c r="F9" s="44" t="str">
        <f aca="false">IFERROR(IF(D9="","",VLOOKUP(D9,Members!$A$2:$C$16,3,FALSE())),"")</f>
        <v/>
      </c>
      <c r="G9" s="45"/>
      <c r="H9" s="45"/>
      <c r="I9" s="45"/>
      <c r="J9" s="45"/>
      <c r="K9" s="45"/>
      <c r="L9" s="45"/>
      <c r="M9" s="46"/>
      <c r="N9" s="46"/>
      <c r="O9" s="46"/>
      <c r="P9" s="46"/>
      <c r="Q9" s="46"/>
      <c r="R9" s="46"/>
      <c r="S9" s="47" t="str">
        <f aca="false">IF(COUNT(G9:L9)=0,"",SUM(G9:L9))</f>
        <v/>
      </c>
      <c r="T9" s="48" t="str">
        <f aca="false">IF(COUNT(M9:R9)=0,"",SUM(M9:R9))</f>
        <v/>
      </c>
      <c r="U9" s="40"/>
      <c r="V9" s="42"/>
      <c r="Y9" s="49" t="str">
        <f aca="false">IF(AND(A9="",B9="",D9="",COUNT(G9:L9)=0),"",IF(D9="","Missing shooter",IF(A9="","Missing date",IF(B9="","Missing event",IF(E9="","Club not in roster (type manually)",IF(COUNT(G9:L9)=0,"No scores entered",IF(U9="","Set status (official/provisional)",IF(COUNTIFS($A$2:$A$101,A9,$B$2:$B$101,B9,$D$2:$D$101,D9)&gt;1,"Duplicate entry","OK to upload"))))))))</f>
        <v/>
      </c>
    </row>
    <row r="10" customFormat="false" ht="15" hidden="false" customHeight="true" outlineLevel="0" collapsed="false">
      <c r="A10" s="41"/>
      <c r="B10" s="40"/>
      <c r="C10" s="40"/>
      <c r="D10" s="40"/>
      <c r="E10" s="44" t="str">
        <f aca="false">IFERROR(IF(D10="","",VLOOKUP(D10,Members!$A$2:$C$16,2,FALSE())),"")</f>
        <v/>
      </c>
      <c r="F10" s="44" t="str">
        <f aca="false">IFERROR(IF(D10="","",VLOOKUP(D10,Members!$A$2:$C$16,3,FALSE())),"")</f>
        <v/>
      </c>
      <c r="G10" s="45"/>
      <c r="H10" s="45"/>
      <c r="I10" s="45"/>
      <c r="J10" s="45"/>
      <c r="K10" s="45"/>
      <c r="L10" s="45"/>
      <c r="M10" s="46"/>
      <c r="N10" s="46"/>
      <c r="O10" s="46"/>
      <c r="P10" s="46"/>
      <c r="Q10" s="46"/>
      <c r="R10" s="46"/>
      <c r="S10" s="47" t="str">
        <f aca="false">IF(COUNT(G10:L10)=0,"",SUM(G10:L10))</f>
        <v/>
      </c>
      <c r="T10" s="48" t="str">
        <f aca="false">IF(COUNT(M10:R10)=0,"",SUM(M10:R10))</f>
        <v/>
      </c>
      <c r="U10" s="40"/>
      <c r="V10" s="42"/>
      <c r="Y10" s="49" t="str">
        <f aca="false">IF(AND(A10="",B10="",D10="",COUNT(G10:L10)=0),"",IF(D10="","Missing shooter",IF(A10="","Missing date",IF(B10="","Missing event",IF(E10="","Club not in roster (type manually)",IF(COUNT(G10:L10)=0,"No scores entered",IF(U10="","Set status (official/provisional)",IF(COUNTIFS($A$2:$A$101,A10,$B$2:$B$101,B10,$D$2:$D$101,D10)&gt;1,"Duplicate entry","OK to upload"))))))))</f>
        <v/>
      </c>
    </row>
    <row r="11" customFormat="false" ht="15" hidden="false" customHeight="true" outlineLevel="0" collapsed="false">
      <c r="A11" s="41"/>
      <c r="B11" s="40"/>
      <c r="C11" s="40"/>
      <c r="D11" s="40"/>
      <c r="E11" s="44" t="str">
        <f aca="false">IFERROR(IF(D11="","",VLOOKUP(D11,Members!$A$2:$C$16,2,FALSE())),"")</f>
        <v/>
      </c>
      <c r="F11" s="44" t="str">
        <f aca="false">IFERROR(IF(D11="","",VLOOKUP(D11,Members!$A$2:$C$16,3,FALSE())),"")</f>
        <v/>
      </c>
      <c r="G11" s="45"/>
      <c r="H11" s="45"/>
      <c r="I11" s="45"/>
      <c r="J11" s="45"/>
      <c r="K11" s="45"/>
      <c r="L11" s="45"/>
      <c r="M11" s="46"/>
      <c r="N11" s="46"/>
      <c r="O11" s="46"/>
      <c r="P11" s="46"/>
      <c r="Q11" s="46"/>
      <c r="R11" s="46"/>
      <c r="S11" s="47" t="str">
        <f aca="false">IF(COUNT(G11:L11)=0,"",SUM(G11:L11))</f>
        <v/>
      </c>
      <c r="T11" s="48" t="str">
        <f aca="false">IF(COUNT(M11:R11)=0,"",SUM(M11:R11))</f>
        <v/>
      </c>
      <c r="U11" s="40"/>
      <c r="V11" s="42"/>
      <c r="Y11" s="49" t="str">
        <f aca="false">IF(AND(A11="",B11="",D11="",COUNT(G11:L11)=0),"",IF(D11="","Missing shooter",IF(A11="","Missing date",IF(B11="","Missing event",IF(E11="","Club not in roster (type manually)",IF(COUNT(G11:L11)=0,"No scores entered",IF(U11="","Set status (official/provisional)",IF(COUNTIFS($A$2:$A$101,A11,$B$2:$B$101,B11,$D$2:$D$101,D11)&gt;1,"Duplicate entry","OK to upload"))))))))</f>
        <v/>
      </c>
    </row>
    <row r="12" customFormat="false" ht="15" hidden="false" customHeight="true" outlineLevel="0" collapsed="false">
      <c r="A12" s="41"/>
      <c r="B12" s="40"/>
      <c r="C12" s="40"/>
      <c r="D12" s="40"/>
      <c r="E12" s="44" t="str">
        <f aca="false">IFERROR(IF(D12="","",VLOOKUP(D12,Members!$A$2:$C$16,2,FALSE())),"")</f>
        <v/>
      </c>
      <c r="F12" s="44" t="str">
        <f aca="false">IFERROR(IF(D12="","",VLOOKUP(D12,Members!$A$2:$C$16,3,FALSE())),"")</f>
        <v/>
      </c>
      <c r="G12" s="45"/>
      <c r="H12" s="45"/>
      <c r="I12" s="45"/>
      <c r="J12" s="45"/>
      <c r="K12" s="45"/>
      <c r="L12" s="45"/>
      <c r="M12" s="46"/>
      <c r="N12" s="46"/>
      <c r="O12" s="46"/>
      <c r="P12" s="46"/>
      <c r="Q12" s="46"/>
      <c r="R12" s="46"/>
      <c r="S12" s="47" t="str">
        <f aca="false">IF(COUNT(G12:L12)=0,"",SUM(G12:L12))</f>
        <v/>
      </c>
      <c r="T12" s="48" t="str">
        <f aca="false">IF(COUNT(M12:R12)=0,"",SUM(M12:R12))</f>
        <v/>
      </c>
      <c r="U12" s="40"/>
      <c r="V12" s="42"/>
      <c r="Y12" s="49" t="str">
        <f aca="false">IF(AND(A12="",B12="",D12="",COUNT(G12:L12)=0),"",IF(D12="","Missing shooter",IF(A12="","Missing date",IF(B12="","Missing event",IF(E12="","Club not in roster (type manually)",IF(COUNT(G12:L12)=0,"No scores entered",IF(U12="","Set status (official/provisional)",IF(COUNTIFS($A$2:$A$101,A12,$B$2:$B$101,B12,$D$2:$D$101,D12)&gt;1,"Duplicate entry","OK to upload"))))))))</f>
        <v/>
      </c>
    </row>
    <row r="13" customFormat="false" ht="15" hidden="false" customHeight="true" outlineLevel="0" collapsed="false">
      <c r="A13" s="41"/>
      <c r="B13" s="40"/>
      <c r="C13" s="40"/>
      <c r="D13" s="40"/>
      <c r="E13" s="44" t="str">
        <f aca="false">IFERROR(IF(D13="","",VLOOKUP(D13,Members!$A$2:$C$16,2,FALSE())),"")</f>
        <v/>
      </c>
      <c r="F13" s="44" t="str">
        <f aca="false">IFERROR(IF(D13="","",VLOOKUP(D13,Members!$A$2:$C$16,3,FALSE())),"")</f>
        <v/>
      </c>
      <c r="G13" s="45"/>
      <c r="H13" s="45"/>
      <c r="I13" s="45"/>
      <c r="J13" s="45"/>
      <c r="K13" s="45"/>
      <c r="L13" s="45"/>
      <c r="M13" s="46"/>
      <c r="N13" s="46"/>
      <c r="O13" s="46"/>
      <c r="P13" s="46"/>
      <c r="Q13" s="46"/>
      <c r="R13" s="46"/>
      <c r="S13" s="47" t="str">
        <f aca="false">IF(COUNT(G13:L13)=0,"",SUM(G13:L13))</f>
        <v/>
      </c>
      <c r="T13" s="48" t="str">
        <f aca="false">IF(COUNT(M13:R13)=0,"",SUM(M13:R13))</f>
        <v/>
      </c>
      <c r="U13" s="40"/>
      <c r="V13" s="42"/>
      <c r="Y13" s="49" t="str">
        <f aca="false">IF(AND(A13="",B13="",D13="",COUNT(G13:L13)=0),"",IF(D13="","Missing shooter",IF(A13="","Missing date",IF(B13="","Missing event",IF(E13="","Club not in roster (type manually)",IF(COUNT(G13:L13)=0,"No scores entered",IF(U13="","Set status (official/provisional)",IF(COUNTIFS($A$2:$A$101,A13,$B$2:$B$101,B13,$D$2:$D$101,D13)&gt;1,"Duplicate entry","OK to upload"))))))))</f>
        <v/>
      </c>
    </row>
    <row r="14" customFormat="false" ht="15" hidden="false" customHeight="true" outlineLevel="0" collapsed="false">
      <c r="A14" s="41"/>
      <c r="B14" s="40"/>
      <c r="C14" s="40"/>
      <c r="D14" s="40"/>
      <c r="E14" s="44" t="str">
        <f aca="false">IFERROR(IF(D14="","",VLOOKUP(D14,Members!$A$2:$C$16,2,FALSE())),"")</f>
        <v/>
      </c>
      <c r="F14" s="44" t="str">
        <f aca="false">IFERROR(IF(D14="","",VLOOKUP(D14,Members!$A$2:$C$16,3,FALSE())),"")</f>
        <v/>
      </c>
      <c r="G14" s="45"/>
      <c r="H14" s="45"/>
      <c r="I14" s="45"/>
      <c r="J14" s="45"/>
      <c r="K14" s="45"/>
      <c r="L14" s="45"/>
      <c r="M14" s="46"/>
      <c r="N14" s="46"/>
      <c r="O14" s="46"/>
      <c r="P14" s="46"/>
      <c r="Q14" s="46"/>
      <c r="R14" s="46"/>
      <c r="S14" s="47" t="str">
        <f aca="false">IF(COUNT(G14:L14)=0,"",SUM(G14:L14))</f>
        <v/>
      </c>
      <c r="T14" s="48" t="str">
        <f aca="false">IF(COUNT(M14:R14)=0,"",SUM(M14:R14))</f>
        <v/>
      </c>
      <c r="U14" s="40"/>
      <c r="V14" s="42"/>
      <c r="Y14" s="49" t="str">
        <f aca="false">IF(AND(A14="",B14="",D14="",COUNT(G14:L14)=0),"",IF(D14="","Missing shooter",IF(A14="","Missing date",IF(B14="","Missing event",IF(E14="","Club not in roster (type manually)",IF(COUNT(G14:L14)=0,"No scores entered",IF(U14="","Set status (official/provisional)",IF(COUNTIFS($A$2:$A$101,A14,$B$2:$B$101,B14,$D$2:$D$101,D14)&gt;1,"Duplicate entry","OK to upload"))))))))</f>
        <v/>
      </c>
    </row>
    <row r="15" customFormat="false" ht="15" hidden="false" customHeight="true" outlineLevel="0" collapsed="false">
      <c r="A15" s="41"/>
      <c r="B15" s="40"/>
      <c r="C15" s="40"/>
      <c r="D15" s="40"/>
      <c r="E15" s="44" t="str">
        <f aca="false">IFERROR(IF(D15="","",VLOOKUP(D15,Members!$A$2:$C$16,2,FALSE())),"")</f>
        <v/>
      </c>
      <c r="F15" s="44" t="str">
        <f aca="false">IFERROR(IF(D15="","",VLOOKUP(D15,Members!$A$2:$C$16,3,FALSE())),"")</f>
        <v/>
      </c>
      <c r="G15" s="45"/>
      <c r="H15" s="45"/>
      <c r="I15" s="45"/>
      <c r="J15" s="45"/>
      <c r="K15" s="45"/>
      <c r="L15" s="45"/>
      <c r="M15" s="46"/>
      <c r="N15" s="46"/>
      <c r="O15" s="46"/>
      <c r="P15" s="46"/>
      <c r="Q15" s="46"/>
      <c r="R15" s="46"/>
      <c r="S15" s="47" t="str">
        <f aca="false">IF(COUNT(G15:L15)=0,"",SUM(G15:L15))</f>
        <v/>
      </c>
      <c r="T15" s="48" t="str">
        <f aca="false">IF(COUNT(M15:R15)=0,"",SUM(M15:R15))</f>
        <v/>
      </c>
      <c r="U15" s="40"/>
      <c r="V15" s="42"/>
      <c r="Y15" s="49" t="str">
        <f aca="false">IF(AND(A15="",B15="",D15="",COUNT(G15:L15)=0),"",IF(D15="","Missing shooter",IF(A15="","Missing date",IF(B15="","Missing event",IF(E15="","Club not in roster (type manually)",IF(COUNT(G15:L15)=0,"No scores entered",IF(U15="","Set status (official/provisional)",IF(COUNTIFS($A$2:$A$101,A15,$B$2:$B$101,B15,$D$2:$D$101,D15)&gt;1,"Duplicate entry","OK to upload"))))))))</f>
        <v/>
      </c>
    </row>
    <row r="16" customFormat="false" ht="15" hidden="false" customHeight="true" outlineLevel="0" collapsed="false">
      <c r="A16" s="41"/>
      <c r="B16" s="40"/>
      <c r="C16" s="40"/>
      <c r="D16" s="40"/>
      <c r="E16" s="44" t="str">
        <f aca="false">IFERROR(IF(D16="","",VLOOKUP(D16,Members!$A$2:$C$16,2,FALSE())),"")</f>
        <v/>
      </c>
      <c r="F16" s="44" t="str">
        <f aca="false">IFERROR(IF(D16="","",VLOOKUP(D16,Members!$A$2:$C$16,3,FALSE())),"")</f>
        <v/>
      </c>
      <c r="G16" s="45"/>
      <c r="H16" s="45"/>
      <c r="I16" s="45"/>
      <c r="J16" s="45"/>
      <c r="K16" s="45"/>
      <c r="L16" s="45"/>
      <c r="M16" s="46"/>
      <c r="N16" s="46"/>
      <c r="O16" s="46"/>
      <c r="P16" s="46"/>
      <c r="Q16" s="46"/>
      <c r="R16" s="46"/>
      <c r="S16" s="47" t="str">
        <f aca="false">IF(COUNT(G16:L16)=0,"",SUM(G16:L16))</f>
        <v/>
      </c>
      <c r="T16" s="48" t="str">
        <f aca="false">IF(COUNT(M16:R16)=0,"",SUM(M16:R16))</f>
        <v/>
      </c>
      <c r="U16" s="40"/>
      <c r="V16" s="42"/>
      <c r="Y16" s="49" t="str">
        <f aca="false">IF(AND(A16="",B16="",D16="",COUNT(G16:L16)=0),"",IF(D16="","Missing shooter",IF(A16="","Missing date",IF(B16="","Missing event",IF(E16="","Club not in roster (type manually)",IF(COUNT(G16:L16)=0,"No scores entered",IF(U16="","Set status (official/provisional)",IF(COUNTIFS($A$2:$A$101,A16,$B$2:$B$101,B16,$D$2:$D$101,D16)&gt;1,"Duplicate entry","OK to upload"))))))))</f>
        <v/>
      </c>
    </row>
    <row r="17" customFormat="false" ht="15" hidden="false" customHeight="true" outlineLevel="0" collapsed="false">
      <c r="A17" s="41"/>
      <c r="B17" s="40"/>
      <c r="C17" s="40"/>
      <c r="D17" s="40"/>
      <c r="E17" s="44" t="str">
        <f aca="false">IFERROR(IF(D17="","",VLOOKUP(D17,Members!$A$2:$C$16,2,FALSE())),"")</f>
        <v/>
      </c>
      <c r="F17" s="44" t="str">
        <f aca="false">IFERROR(IF(D17="","",VLOOKUP(D17,Members!$A$2:$C$16,3,FALSE())),"")</f>
        <v/>
      </c>
      <c r="G17" s="45"/>
      <c r="H17" s="45"/>
      <c r="I17" s="45"/>
      <c r="J17" s="45"/>
      <c r="K17" s="45"/>
      <c r="L17" s="45"/>
      <c r="M17" s="46"/>
      <c r="N17" s="46"/>
      <c r="O17" s="46"/>
      <c r="P17" s="46"/>
      <c r="Q17" s="46"/>
      <c r="R17" s="46"/>
      <c r="S17" s="47" t="str">
        <f aca="false">IF(COUNT(G17:L17)=0,"",SUM(G17:L17))</f>
        <v/>
      </c>
      <c r="T17" s="48" t="str">
        <f aca="false">IF(COUNT(M17:R17)=0,"",SUM(M17:R17))</f>
        <v/>
      </c>
      <c r="U17" s="40"/>
      <c r="V17" s="42"/>
      <c r="Y17" s="49" t="str">
        <f aca="false">IF(AND(A17="",B17="",D17="",COUNT(G17:L17)=0),"",IF(D17="","Missing shooter",IF(A17="","Missing date",IF(B17="","Missing event",IF(E17="","Club not in roster (type manually)",IF(COUNT(G17:L17)=0,"No scores entered",IF(U17="","Set status (official/provisional)",IF(COUNTIFS($A$2:$A$101,A17,$B$2:$B$101,B17,$D$2:$D$101,D17)&gt;1,"Duplicate entry","OK to upload"))))))))</f>
        <v/>
      </c>
    </row>
    <row r="18" customFormat="false" ht="15" hidden="false" customHeight="true" outlineLevel="0" collapsed="false">
      <c r="A18" s="41"/>
      <c r="B18" s="40"/>
      <c r="C18" s="40"/>
      <c r="D18" s="40"/>
      <c r="E18" s="44" t="str">
        <f aca="false">IFERROR(IF(D18="","",VLOOKUP(D18,Members!$A$2:$C$16,2,FALSE())),"")</f>
        <v/>
      </c>
      <c r="F18" s="44" t="str">
        <f aca="false">IFERROR(IF(D18="","",VLOOKUP(D18,Members!$A$2:$C$16,3,FALSE())),"")</f>
        <v/>
      </c>
      <c r="G18" s="45"/>
      <c r="H18" s="45"/>
      <c r="I18" s="45"/>
      <c r="J18" s="45"/>
      <c r="K18" s="45"/>
      <c r="L18" s="45"/>
      <c r="M18" s="46"/>
      <c r="N18" s="46"/>
      <c r="O18" s="46"/>
      <c r="P18" s="46"/>
      <c r="Q18" s="46"/>
      <c r="R18" s="46"/>
      <c r="S18" s="47" t="str">
        <f aca="false">IF(COUNT(G18:L18)=0,"",SUM(G18:L18))</f>
        <v/>
      </c>
      <c r="T18" s="48" t="str">
        <f aca="false">IF(COUNT(M18:R18)=0,"",SUM(M18:R18))</f>
        <v/>
      </c>
      <c r="U18" s="40"/>
      <c r="V18" s="42"/>
      <c r="Y18" s="49" t="str">
        <f aca="false">IF(AND(A18="",B18="",D18="",COUNT(G18:L18)=0),"",IF(D18="","Missing shooter",IF(A18="","Missing date",IF(B18="","Missing event",IF(E18="","Club not in roster (type manually)",IF(COUNT(G18:L18)=0,"No scores entered",IF(U18="","Set status (official/provisional)",IF(COUNTIFS($A$2:$A$101,A18,$B$2:$B$101,B18,$D$2:$D$101,D18)&gt;1,"Duplicate entry","OK to upload"))))))))</f>
        <v/>
      </c>
    </row>
    <row r="19" customFormat="false" ht="15" hidden="false" customHeight="true" outlineLevel="0" collapsed="false">
      <c r="A19" s="41"/>
      <c r="B19" s="40"/>
      <c r="C19" s="40"/>
      <c r="D19" s="40"/>
      <c r="E19" s="44" t="str">
        <f aca="false">IFERROR(IF(D19="","",VLOOKUP(D19,Members!$A$2:$C$16,2,FALSE())),"")</f>
        <v/>
      </c>
      <c r="F19" s="44" t="str">
        <f aca="false">IFERROR(IF(D19="","",VLOOKUP(D19,Members!$A$2:$C$16,3,FALSE())),"")</f>
        <v/>
      </c>
      <c r="G19" s="45"/>
      <c r="H19" s="45"/>
      <c r="I19" s="45"/>
      <c r="J19" s="45"/>
      <c r="K19" s="45"/>
      <c r="L19" s="45"/>
      <c r="M19" s="46"/>
      <c r="N19" s="46"/>
      <c r="O19" s="46"/>
      <c r="P19" s="46"/>
      <c r="Q19" s="46"/>
      <c r="R19" s="46"/>
      <c r="S19" s="47" t="str">
        <f aca="false">IF(COUNT(G19:L19)=0,"",SUM(G19:L19))</f>
        <v/>
      </c>
      <c r="T19" s="48" t="str">
        <f aca="false">IF(COUNT(M19:R19)=0,"",SUM(M19:R19))</f>
        <v/>
      </c>
      <c r="U19" s="40"/>
      <c r="V19" s="42"/>
      <c r="Y19" s="49" t="str">
        <f aca="false">IF(AND(A19="",B19="",D19="",COUNT(G19:L19)=0),"",IF(D19="","Missing shooter",IF(A19="","Missing date",IF(B19="","Missing event",IF(E19="","Club not in roster (type manually)",IF(COUNT(G19:L19)=0,"No scores entered",IF(U19="","Set status (official/provisional)",IF(COUNTIFS($A$2:$A$101,A19,$B$2:$B$101,B19,$D$2:$D$101,D19)&gt;1,"Duplicate entry","OK to upload"))))))))</f>
        <v/>
      </c>
    </row>
    <row r="20" customFormat="false" ht="15" hidden="false" customHeight="true" outlineLevel="0" collapsed="false">
      <c r="A20" s="41"/>
      <c r="B20" s="40"/>
      <c r="C20" s="40"/>
      <c r="D20" s="40"/>
      <c r="E20" s="44" t="str">
        <f aca="false">IFERROR(IF(D20="","",VLOOKUP(D20,Members!$A$2:$C$16,2,FALSE())),"")</f>
        <v/>
      </c>
      <c r="F20" s="44" t="str">
        <f aca="false">IFERROR(IF(D20="","",VLOOKUP(D20,Members!$A$2:$C$16,3,FALSE())),"")</f>
        <v/>
      </c>
      <c r="G20" s="45"/>
      <c r="H20" s="45"/>
      <c r="I20" s="45"/>
      <c r="J20" s="45"/>
      <c r="K20" s="45"/>
      <c r="L20" s="45"/>
      <c r="M20" s="46"/>
      <c r="N20" s="46"/>
      <c r="O20" s="46"/>
      <c r="P20" s="46"/>
      <c r="Q20" s="46"/>
      <c r="R20" s="46"/>
      <c r="S20" s="47" t="str">
        <f aca="false">IF(COUNT(G20:L20)=0,"",SUM(G20:L20))</f>
        <v/>
      </c>
      <c r="T20" s="48" t="str">
        <f aca="false">IF(COUNT(M20:R20)=0,"",SUM(M20:R20))</f>
        <v/>
      </c>
      <c r="U20" s="40"/>
      <c r="V20" s="42"/>
      <c r="Y20" s="49" t="str">
        <f aca="false">IF(AND(A20="",B20="",D20="",COUNT(G20:L20)=0),"",IF(D20="","Missing shooter",IF(A20="","Missing date",IF(B20="","Missing event",IF(E20="","Club not in roster (type manually)",IF(COUNT(G20:L20)=0,"No scores entered",IF(U20="","Set status (official/provisional)",IF(COUNTIFS($A$2:$A$101,A20,$B$2:$B$101,B20,$D$2:$D$101,D20)&gt;1,"Duplicate entry","OK to upload"))))))))</f>
        <v/>
      </c>
    </row>
    <row r="21" customFormat="false" ht="15" hidden="false" customHeight="true" outlineLevel="0" collapsed="false">
      <c r="A21" s="41"/>
      <c r="B21" s="40"/>
      <c r="C21" s="40"/>
      <c r="D21" s="40"/>
      <c r="E21" s="44" t="str">
        <f aca="false">IFERROR(IF(D21="","",VLOOKUP(D21,Members!$A$2:$C$16,2,FALSE())),"")</f>
        <v/>
      </c>
      <c r="F21" s="44" t="str">
        <f aca="false">IFERROR(IF(D21="","",VLOOKUP(D21,Members!$A$2:$C$16,3,FALSE())),"")</f>
        <v/>
      </c>
      <c r="G21" s="45"/>
      <c r="H21" s="45"/>
      <c r="I21" s="45"/>
      <c r="J21" s="45"/>
      <c r="K21" s="45"/>
      <c r="L21" s="45"/>
      <c r="M21" s="46"/>
      <c r="N21" s="46"/>
      <c r="O21" s="46"/>
      <c r="P21" s="46"/>
      <c r="Q21" s="46"/>
      <c r="R21" s="46"/>
      <c r="S21" s="47" t="str">
        <f aca="false">IF(COUNT(G21:L21)=0,"",SUM(G21:L21))</f>
        <v/>
      </c>
      <c r="T21" s="48" t="str">
        <f aca="false">IF(COUNT(M21:R21)=0,"",SUM(M21:R21))</f>
        <v/>
      </c>
      <c r="U21" s="40"/>
      <c r="V21" s="42"/>
      <c r="Y21" s="49" t="str">
        <f aca="false">IF(AND(A21="",B21="",D21="",COUNT(G21:L21)=0),"",IF(D21="","Missing shooter",IF(A21="","Missing date",IF(B21="","Missing event",IF(E21="","Club not in roster (type manually)",IF(COUNT(G21:L21)=0,"No scores entered",IF(U21="","Set status (official/provisional)",IF(COUNTIFS($A$2:$A$101,A21,$B$2:$B$101,B21,$D$2:$D$101,D21)&gt;1,"Duplicate entry","OK to upload"))))))))</f>
        <v/>
      </c>
    </row>
    <row r="22" customFormat="false" ht="15" hidden="false" customHeight="true" outlineLevel="0" collapsed="false">
      <c r="A22" s="41"/>
      <c r="B22" s="40"/>
      <c r="C22" s="40"/>
      <c r="D22" s="40"/>
      <c r="E22" s="44" t="str">
        <f aca="false">IFERROR(IF(D22="","",VLOOKUP(D22,Members!$A$2:$C$16,2,FALSE())),"")</f>
        <v/>
      </c>
      <c r="F22" s="44" t="str">
        <f aca="false">IFERROR(IF(D22="","",VLOOKUP(D22,Members!$A$2:$C$16,3,FALSE())),"")</f>
        <v/>
      </c>
      <c r="G22" s="45"/>
      <c r="H22" s="45"/>
      <c r="I22" s="45"/>
      <c r="J22" s="45"/>
      <c r="K22" s="45"/>
      <c r="L22" s="45"/>
      <c r="M22" s="46"/>
      <c r="N22" s="46"/>
      <c r="O22" s="46"/>
      <c r="P22" s="46"/>
      <c r="Q22" s="46"/>
      <c r="R22" s="46"/>
      <c r="S22" s="47" t="str">
        <f aca="false">IF(COUNT(G22:L22)=0,"",SUM(G22:L22))</f>
        <v/>
      </c>
      <c r="T22" s="48" t="str">
        <f aca="false">IF(COUNT(M22:R22)=0,"",SUM(M22:R22))</f>
        <v/>
      </c>
      <c r="U22" s="40"/>
      <c r="V22" s="42"/>
      <c r="Y22" s="49" t="str">
        <f aca="false">IF(AND(A22="",B22="",D22="",COUNT(G22:L22)=0),"",IF(D22="","Missing shooter",IF(A22="","Missing date",IF(B22="","Missing event",IF(E22="","Club not in roster (type manually)",IF(COUNT(G22:L22)=0,"No scores entered",IF(U22="","Set status (official/provisional)",IF(COUNTIFS($A$2:$A$101,A22,$B$2:$B$101,B22,$D$2:$D$101,D22)&gt;1,"Duplicate entry","OK to upload"))))))))</f>
        <v/>
      </c>
    </row>
    <row r="23" customFormat="false" ht="15" hidden="false" customHeight="true" outlineLevel="0" collapsed="false">
      <c r="A23" s="41"/>
      <c r="B23" s="40"/>
      <c r="C23" s="40"/>
      <c r="D23" s="40"/>
      <c r="E23" s="44" t="str">
        <f aca="false">IFERROR(IF(D23="","",VLOOKUP(D23,Members!$A$2:$C$16,2,FALSE())),"")</f>
        <v/>
      </c>
      <c r="F23" s="44" t="str">
        <f aca="false">IFERROR(IF(D23="","",VLOOKUP(D23,Members!$A$2:$C$16,3,FALSE())),"")</f>
        <v/>
      </c>
      <c r="G23" s="45"/>
      <c r="H23" s="45"/>
      <c r="I23" s="45"/>
      <c r="J23" s="45"/>
      <c r="K23" s="45"/>
      <c r="L23" s="45"/>
      <c r="M23" s="46"/>
      <c r="N23" s="46"/>
      <c r="O23" s="46"/>
      <c r="P23" s="46"/>
      <c r="Q23" s="46"/>
      <c r="R23" s="46"/>
      <c r="S23" s="47" t="str">
        <f aca="false">IF(COUNT(G23:L23)=0,"",SUM(G23:L23))</f>
        <v/>
      </c>
      <c r="T23" s="48" t="str">
        <f aca="false">IF(COUNT(M23:R23)=0,"",SUM(M23:R23))</f>
        <v/>
      </c>
      <c r="U23" s="40"/>
      <c r="V23" s="42"/>
      <c r="Y23" s="49" t="str">
        <f aca="false">IF(AND(A23="",B23="",D23="",COUNT(G23:L23)=0),"",IF(D23="","Missing shooter",IF(A23="","Missing date",IF(B23="","Missing event",IF(E23="","Club not in roster (type manually)",IF(COUNT(G23:L23)=0,"No scores entered",IF(U23="","Set status (official/provisional)",IF(COUNTIFS($A$2:$A$101,A23,$B$2:$B$101,B23,$D$2:$D$101,D23)&gt;1,"Duplicate entry","OK to upload"))))))))</f>
        <v/>
      </c>
    </row>
    <row r="24" customFormat="false" ht="15" hidden="false" customHeight="true" outlineLevel="0" collapsed="false">
      <c r="A24" s="41"/>
      <c r="B24" s="40"/>
      <c r="C24" s="40"/>
      <c r="D24" s="40"/>
      <c r="E24" s="44" t="str">
        <f aca="false">IFERROR(IF(D24="","",VLOOKUP(D24,Members!$A$2:$C$16,2,FALSE())),"")</f>
        <v/>
      </c>
      <c r="F24" s="44" t="str">
        <f aca="false">IFERROR(IF(D24="","",VLOOKUP(D24,Members!$A$2:$C$16,3,FALSE())),"")</f>
        <v/>
      </c>
      <c r="G24" s="45"/>
      <c r="H24" s="45"/>
      <c r="I24" s="45"/>
      <c r="J24" s="45"/>
      <c r="K24" s="45"/>
      <c r="L24" s="45"/>
      <c r="M24" s="46"/>
      <c r="N24" s="46"/>
      <c r="O24" s="46"/>
      <c r="P24" s="46"/>
      <c r="Q24" s="46"/>
      <c r="R24" s="46"/>
      <c r="S24" s="47" t="str">
        <f aca="false">IF(COUNT(G24:L24)=0,"",SUM(G24:L24))</f>
        <v/>
      </c>
      <c r="T24" s="48" t="str">
        <f aca="false">IF(COUNT(M24:R24)=0,"",SUM(M24:R24))</f>
        <v/>
      </c>
      <c r="U24" s="40"/>
      <c r="V24" s="42"/>
      <c r="Y24" s="49" t="str">
        <f aca="false">IF(AND(A24="",B24="",D24="",COUNT(G24:L24)=0),"",IF(D24="","Missing shooter",IF(A24="","Missing date",IF(B24="","Missing event",IF(E24="","Club not in roster (type manually)",IF(COUNT(G24:L24)=0,"No scores entered",IF(U24="","Set status (official/provisional)",IF(COUNTIFS($A$2:$A$101,A24,$B$2:$B$101,B24,$D$2:$D$101,D24)&gt;1,"Duplicate entry","OK to upload"))))))))</f>
        <v/>
      </c>
    </row>
    <row r="25" customFormat="false" ht="15" hidden="false" customHeight="true" outlineLevel="0" collapsed="false">
      <c r="A25" s="41"/>
      <c r="B25" s="40"/>
      <c r="C25" s="40"/>
      <c r="D25" s="40"/>
      <c r="E25" s="44" t="str">
        <f aca="false">IFERROR(IF(D25="","",VLOOKUP(D25,Members!$A$2:$C$16,2,FALSE())),"")</f>
        <v/>
      </c>
      <c r="F25" s="44" t="str">
        <f aca="false">IFERROR(IF(D25="","",VLOOKUP(D25,Members!$A$2:$C$16,3,FALSE())),"")</f>
        <v/>
      </c>
      <c r="G25" s="45"/>
      <c r="H25" s="45"/>
      <c r="I25" s="45"/>
      <c r="J25" s="45"/>
      <c r="K25" s="45"/>
      <c r="L25" s="45"/>
      <c r="M25" s="46"/>
      <c r="N25" s="46"/>
      <c r="O25" s="46"/>
      <c r="P25" s="46"/>
      <c r="Q25" s="46"/>
      <c r="R25" s="46"/>
      <c r="S25" s="47" t="str">
        <f aca="false">IF(COUNT(G25:L25)=0,"",SUM(G25:L25))</f>
        <v/>
      </c>
      <c r="T25" s="48" t="str">
        <f aca="false">IF(COUNT(M25:R25)=0,"",SUM(M25:R25))</f>
        <v/>
      </c>
      <c r="U25" s="40"/>
      <c r="V25" s="42"/>
      <c r="Y25" s="49" t="str">
        <f aca="false">IF(AND(A25="",B25="",D25="",COUNT(G25:L25)=0),"",IF(D25="","Missing shooter",IF(A25="","Missing date",IF(B25="","Missing event",IF(E25="","Club not in roster (type manually)",IF(COUNT(G25:L25)=0,"No scores entered",IF(U25="","Set status (official/provisional)",IF(COUNTIFS($A$2:$A$101,A25,$B$2:$B$101,B25,$D$2:$D$101,D25)&gt;1,"Duplicate entry","OK to upload"))))))))</f>
        <v/>
      </c>
    </row>
    <row r="26" customFormat="false" ht="15" hidden="false" customHeight="true" outlineLevel="0" collapsed="false">
      <c r="A26" s="41"/>
      <c r="B26" s="40"/>
      <c r="C26" s="40"/>
      <c r="D26" s="40"/>
      <c r="E26" s="44" t="str">
        <f aca="false">IFERROR(IF(D26="","",VLOOKUP(D26,Members!$A$2:$C$16,2,FALSE())),"")</f>
        <v/>
      </c>
      <c r="F26" s="44" t="str">
        <f aca="false">IFERROR(IF(D26="","",VLOOKUP(D26,Members!$A$2:$C$16,3,FALSE())),"")</f>
        <v/>
      </c>
      <c r="G26" s="45"/>
      <c r="H26" s="45"/>
      <c r="I26" s="45"/>
      <c r="J26" s="45"/>
      <c r="K26" s="45"/>
      <c r="L26" s="45"/>
      <c r="M26" s="46"/>
      <c r="N26" s="46"/>
      <c r="O26" s="46"/>
      <c r="P26" s="46"/>
      <c r="Q26" s="46"/>
      <c r="R26" s="46"/>
      <c r="S26" s="47" t="str">
        <f aca="false">IF(COUNT(G26:L26)=0,"",SUM(G26:L26))</f>
        <v/>
      </c>
      <c r="T26" s="48" t="str">
        <f aca="false">IF(COUNT(M26:R26)=0,"",SUM(M26:R26))</f>
        <v/>
      </c>
      <c r="U26" s="40"/>
      <c r="V26" s="42"/>
      <c r="Y26" s="49" t="str">
        <f aca="false">IF(AND(A26="",B26="",D26="",COUNT(G26:L26)=0),"",IF(D26="","Missing shooter",IF(A26="","Missing date",IF(B26="","Missing event",IF(E26="","Club not in roster (type manually)",IF(COUNT(G26:L26)=0,"No scores entered",IF(U26="","Set status (official/provisional)",IF(COUNTIFS($A$2:$A$101,A26,$B$2:$B$101,B26,$D$2:$D$101,D26)&gt;1,"Duplicate entry","OK to upload"))))))))</f>
        <v/>
      </c>
    </row>
    <row r="27" customFormat="false" ht="15" hidden="false" customHeight="true" outlineLevel="0" collapsed="false">
      <c r="A27" s="41"/>
      <c r="B27" s="40"/>
      <c r="C27" s="40"/>
      <c r="D27" s="40"/>
      <c r="E27" s="44" t="str">
        <f aca="false">IFERROR(IF(D27="","",VLOOKUP(D27,Members!$A$2:$C$16,2,FALSE())),"")</f>
        <v/>
      </c>
      <c r="F27" s="44" t="str">
        <f aca="false">IFERROR(IF(D27="","",VLOOKUP(D27,Members!$A$2:$C$16,3,FALSE())),"")</f>
        <v/>
      </c>
      <c r="G27" s="45"/>
      <c r="H27" s="45"/>
      <c r="I27" s="45"/>
      <c r="J27" s="45"/>
      <c r="K27" s="45"/>
      <c r="L27" s="45"/>
      <c r="M27" s="46"/>
      <c r="N27" s="46"/>
      <c r="O27" s="46"/>
      <c r="P27" s="46"/>
      <c r="Q27" s="46"/>
      <c r="R27" s="46"/>
      <c r="S27" s="47" t="str">
        <f aca="false">IF(COUNT(G27:L27)=0,"",SUM(G27:L27))</f>
        <v/>
      </c>
      <c r="T27" s="48" t="str">
        <f aca="false">IF(COUNT(M27:R27)=0,"",SUM(M27:R27))</f>
        <v/>
      </c>
      <c r="U27" s="40"/>
      <c r="V27" s="42"/>
      <c r="Y27" s="49" t="str">
        <f aca="false">IF(AND(A27="",B27="",D27="",COUNT(G27:L27)=0),"",IF(D27="","Missing shooter",IF(A27="","Missing date",IF(B27="","Missing event",IF(E27="","Club not in roster (type manually)",IF(COUNT(G27:L27)=0,"No scores entered",IF(U27="","Set status (official/provisional)",IF(COUNTIFS($A$2:$A$101,A27,$B$2:$B$101,B27,$D$2:$D$101,D27)&gt;1,"Duplicate entry","OK to upload"))))))))</f>
        <v/>
      </c>
    </row>
    <row r="28" customFormat="false" ht="15" hidden="false" customHeight="true" outlineLevel="0" collapsed="false">
      <c r="A28" s="41"/>
      <c r="B28" s="40"/>
      <c r="C28" s="40"/>
      <c r="D28" s="40"/>
      <c r="E28" s="44" t="str">
        <f aca="false">IFERROR(IF(D28="","",VLOOKUP(D28,Members!$A$2:$C$16,2,FALSE())),"")</f>
        <v/>
      </c>
      <c r="F28" s="44" t="str">
        <f aca="false">IFERROR(IF(D28="","",VLOOKUP(D28,Members!$A$2:$C$16,3,FALSE())),"")</f>
        <v/>
      </c>
      <c r="G28" s="45"/>
      <c r="H28" s="45"/>
      <c r="I28" s="45"/>
      <c r="J28" s="45"/>
      <c r="K28" s="45"/>
      <c r="L28" s="45"/>
      <c r="M28" s="46"/>
      <c r="N28" s="46"/>
      <c r="O28" s="46"/>
      <c r="P28" s="46"/>
      <c r="Q28" s="46"/>
      <c r="R28" s="46"/>
      <c r="S28" s="47" t="str">
        <f aca="false">IF(COUNT(G28:L28)=0,"",SUM(G28:L28))</f>
        <v/>
      </c>
      <c r="T28" s="48" t="str">
        <f aca="false">IF(COUNT(M28:R28)=0,"",SUM(M28:R28))</f>
        <v/>
      </c>
      <c r="U28" s="40"/>
      <c r="V28" s="42"/>
      <c r="Y28" s="49" t="str">
        <f aca="false">IF(AND(A28="",B28="",D28="",COUNT(G28:L28)=0),"",IF(D28="","Missing shooter",IF(A28="","Missing date",IF(B28="","Missing event",IF(E28="","Club not in roster (type manually)",IF(COUNT(G28:L28)=0,"No scores entered",IF(U28="","Set status (official/provisional)",IF(COUNTIFS($A$2:$A$101,A28,$B$2:$B$101,B28,$D$2:$D$101,D28)&gt;1,"Duplicate entry","OK to upload"))))))))</f>
        <v/>
      </c>
    </row>
    <row r="29" customFormat="false" ht="15" hidden="false" customHeight="true" outlineLevel="0" collapsed="false">
      <c r="A29" s="41"/>
      <c r="B29" s="40"/>
      <c r="C29" s="40"/>
      <c r="D29" s="40"/>
      <c r="E29" s="44" t="str">
        <f aca="false">IFERROR(IF(D29="","",VLOOKUP(D29,Members!$A$2:$C$16,2,FALSE())),"")</f>
        <v/>
      </c>
      <c r="F29" s="44" t="str">
        <f aca="false">IFERROR(IF(D29="","",VLOOKUP(D29,Members!$A$2:$C$16,3,FALSE())),"")</f>
        <v/>
      </c>
      <c r="G29" s="45"/>
      <c r="H29" s="45"/>
      <c r="I29" s="45"/>
      <c r="J29" s="45"/>
      <c r="K29" s="45"/>
      <c r="L29" s="45"/>
      <c r="M29" s="46"/>
      <c r="N29" s="46"/>
      <c r="O29" s="46"/>
      <c r="P29" s="46"/>
      <c r="Q29" s="46"/>
      <c r="R29" s="46"/>
      <c r="S29" s="47" t="str">
        <f aca="false">IF(COUNT(G29:L29)=0,"",SUM(G29:L29))</f>
        <v/>
      </c>
      <c r="T29" s="48" t="str">
        <f aca="false">IF(COUNT(M29:R29)=0,"",SUM(M29:R29))</f>
        <v/>
      </c>
      <c r="U29" s="40"/>
      <c r="V29" s="42"/>
      <c r="Y29" s="49" t="str">
        <f aca="false">IF(AND(A29="",B29="",D29="",COUNT(G29:L29)=0),"",IF(D29="","Missing shooter",IF(A29="","Missing date",IF(B29="","Missing event",IF(E29="","Club not in roster (type manually)",IF(COUNT(G29:L29)=0,"No scores entered",IF(U29="","Set status (official/provisional)",IF(COUNTIFS($A$2:$A$101,A29,$B$2:$B$101,B29,$D$2:$D$101,D29)&gt;1,"Duplicate entry","OK to upload"))))))))</f>
        <v/>
      </c>
    </row>
    <row r="30" customFormat="false" ht="15" hidden="false" customHeight="true" outlineLevel="0" collapsed="false">
      <c r="A30" s="41"/>
      <c r="B30" s="40"/>
      <c r="C30" s="40"/>
      <c r="D30" s="40"/>
      <c r="E30" s="44" t="str">
        <f aca="false">IFERROR(IF(D30="","",VLOOKUP(D30,Members!$A$2:$C$16,2,FALSE())),"")</f>
        <v/>
      </c>
      <c r="F30" s="44" t="str">
        <f aca="false">IFERROR(IF(D30="","",VLOOKUP(D30,Members!$A$2:$C$16,3,FALSE())),"")</f>
        <v/>
      </c>
      <c r="G30" s="45"/>
      <c r="H30" s="45"/>
      <c r="I30" s="45"/>
      <c r="J30" s="45"/>
      <c r="K30" s="45"/>
      <c r="L30" s="45"/>
      <c r="M30" s="46"/>
      <c r="N30" s="46"/>
      <c r="O30" s="46"/>
      <c r="P30" s="46"/>
      <c r="Q30" s="46"/>
      <c r="R30" s="46"/>
      <c r="S30" s="47" t="str">
        <f aca="false">IF(COUNT(G30:L30)=0,"",SUM(G30:L30))</f>
        <v/>
      </c>
      <c r="T30" s="48" t="str">
        <f aca="false">IF(COUNT(M30:R30)=0,"",SUM(M30:R30))</f>
        <v/>
      </c>
      <c r="U30" s="40"/>
      <c r="V30" s="42"/>
      <c r="Y30" s="49" t="str">
        <f aca="false">IF(AND(A30="",B30="",D30="",COUNT(G30:L30)=0),"",IF(D30="","Missing shooter",IF(A30="","Missing date",IF(B30="","Missing event",IF(E30="","Club not in roster (type manually)",IF(COUNT(G30:L30)=0,"No scores entered",IF(U30="","Set status (official/provisional)",IF(COUNTIFS($A$2:$A$101,A30,$B$2:$B$101,B30,$D$2:$D$101,D30)&gt;1,"Duplicate entry","OK to upload"))))))))</f>
        <v/>
      </c>
    </row>
    <row r="31" customFormat="false" ht="15" hidden="false" customHeight="true" outlineLevel="0" collapsed="false">
      <c r="A31" s="41"/>
      <c r="B31" s="40"/>
      <c r="C31" s="40"/>
      <c r="D31" s="40"/>
      <c r="E31" s="44" t="str">
        <f aca="false">IFERROR(IF(D31="","",VLOOKUP(D31,Members!$A$2:$C$16,2,FALSE())),"")</f>
        <v/>
      </c>
      <c r="F31" s="44" t="str">
        <f aca="false">IFERROR(IF(D31="","",VLOOKUP(D31,Members!$A$2:$C$16,3,FALSE())),"")</f>
        <v/>
      </c>
      <c r="G31" s="45"/>
      <c r="H31" s="45"/>
      <c r="I31" s="45"/>
      <c r="J31" s="45"/>
      <c r="K31" s="45"/>
      <c r="L31" s="45"/>
      <c r="M31" s="46"/>
      <c r="N31" s="46"/>
      <c r="O31" s="46"/>
      <c r="P31" s="46"/>
      <c r="Q31" s="46"/>
      <c r="R31" s="46"/>
      <c r="S31" s="47" t="str">
        <f aca="false">IF(COUNT(G31:L31)=0,"",SUM(G31:L31))</f>
        <v/>
      </c>
      <c r="T31" s="48" t="str">
        <f aca="false">IF(COUNT(M31:R31)=0,"",SUM(M31:R31))</f>
        <v/>
      </c>
      <c r="U31" s="40"/>
      <c r="V31" s="42"/>
      <c r="Y31" s="49" t="str">
        <f aca="false">IF(AND(A31="",B31="",D31="",COUNT(G31:L31)=0),"",IF(D31="","Missing shooter",IF(A31="","Missing date",IF(B31="","Missing event",IF(E31="","Club not in roster (type manually)",IF(COUNT(G31:L31)=0,"No scores entered",IF(U31="","Set status (official/provisional)",IF(COUNTIFS($A$2:$A$101,A31,$B$2:$B$101,B31,$D$2:$D$101,D31)&gt;1,"Duplicate entry","OK to upload"))))))))</f>
        <v/>
      </c>
    </row>
    <row r="32" customFormat="false" ht="15" hidden="false" customHeight="true" outlineLevel="0" collapsed="false">
      <c r="A32" s="41"/>
      <c r="B32" s="40"/>
      <c r="C32" s="40"/>
      <c r="D32" s="40"/>
      <c r="E32" s="44" t="str">
        <f aca="false">IFERROR(IF(D32="","",VLOOKUP(D32,Members!$A$2:$C$16,2,FALSE())),"")</f>
        <v/>
      </c>
      <c r="F32" s="44" t="str">
        <f aca="false">IFERROR(IF(D32="","",VLOOKUP(D32,Members!$A$2:$C$16,3,FALSE())),"")</f>
        <v/>
      </c>
      <c r="G32" s="45"/>
      <c r="H32" s="45"/>
      <c r="I32" s="45"/>
      <c r="J32" s="45"/>
      <c r="K32" s="45"/>
      <c r="L32" s="45"/>
      <c r="M32" s="46"/>
      <c r="N32" s="46"/>
      <c r="O32" s="46"/>
      <c r="P32" s="46"/>
      <c r="Q32" s="46"/>
      <c r="R32" s="46"/>
      <c r="S32" s="47" t="str">
        <f aca="false">IF(COUNT(G32:L32)=0,"",SUM(G32:L32))</f>
        <v/>
      </c>
      <c r="T32" s="48" t="str">
        <f aca="false">IF(COUNT(M32:R32)=0,"",SUM(M32:R32))</f>
        <v/>
      </c>
      <c r="U32" s="40"/>
      <c r="V32" s="42"/>
      <c r="Y32" s="49" t="str">
        <f aca="false">IF(AND(A32="",B32="",D32="",COUNT(G32:L32)=0),"",IF(D32="","Missing shooter",IF(A32="","Missing date",IF(B32="","Missing event",IF(E32="","Club not in roster (type manually)",IF(COUNT(G32:L32)=0,"No scores entered",IF(U32="","Set status (official/provisional)",IF(COUNTIFS($A$2:$A$101,A32,$B$2:$B$101,B32,$D$2:$D$101,D32)&gt;1,"Duplicate entry","OK to upload"))))))))</f>
        <v/>
      </c>
    </row>
    <row r="33" customFormat="false" ht="15" hidden="false" customHeight="true" outlineLevel="0" collapsed="false">
      <c r="A33" s="41"/>
      <c r="B33" s="40"/>
      <c r="C33" s="40"/>
      <c r="D33" s="40"/>
      <c r="E33" s="44" t="str">
        <f aca="false">IFERROR(IF(D33="","",VLOOKUP(D33,Members!$A$2:$C$16,2,FALSE())),"")</f>
        <v/>
      </c>
      <c r="F33" s="44" t="str">
        <f aca="false">IFERROR(IF(D33="","",VLOOKUP(D33,Members!$A$2:$C$16,3,FALSE())),"")</f>
        <v/>
      </c>
      <c r="G33" s="45"/>
      <c r="H33" s="45"/>
      <c r="I33" s="45"/>
      <c r="J33" s="45"/>
      <c r="K33" s="45"/>
      <c r="L33" s="45"/>
      <c r="M33" s="46"/>
      <c r="N33" s="46"/>
      <c r="O33" s="46"/>
      <c r="P33" s="46"/>
      <c r="Q33" s="46"/>
      <c r="R33" s="46"/>
      <c r="S33" s="47" t="str">
        <f aca="false">IF(COUNT(G33:L33)=0,"",SUM(G33:L33))</f>
        <v/>
      </c>
      <c r="T33" s="48" t="str">
        <f aca="false">IF(COUNT(M33:R33)=0,"",SUM(M33:R33))</f>
        <v/>
      </c>
      <c r="U33" s="40"/>
      <c r="V33" s="42"/>
      <c r="Y33" s="49" t="str">
        <f aca="false">IF(AND(A33="",B33="",D33="",COUNT(G33:L33)=0),"",IF(D33="","Missing shooter",IF(A33="","Missing date",IF(B33="","Missing event",IF(E33="","Club not in roster (type manually)",IF(COUNT(G33:L33)=0,"No scores entered",IF(U33="","Set status (official/provisional)",IF(COUNTIFS($A$2:$A$101,A33,$B$2:$B$101,B33,$D$2:$D$101,D33)&gt;1,"Duplicate entry","OK to upload"))))))))</f>
        <v/>
      </c>
    </row>
    <row r="34" customFormat="false" ht="15" hidden="false" customHeight="true" outlineLevel="0" collapsed="false">
      <c r="A34" s="41"/>
      <c r="B34" s="40"/>
      <c r="C34" s="40"/>
      <c r="D34" s="40"/>
      <c r="E34" s="44" t="str">
        <f aca="false">IFERROR(IF(D34="","",VLOOKUP(D34,Members!$A$2:$C$16,2,FALSE())),"")</f>
        <v/>
      </c>
      <c r="F34" s="44" t="str">
        <f aca="false">IFERROR(IF(D34="","",VLOOKUP(D34,Members!$A$2:$C$16,3,FALSE())),"")</f>
        <v/>
      </c>
      <c r="G34" s="45"/>
      <c r="H34" s="45"/>
      <c r="I34" s="45"/>
      <c r="J34" s="45"/>
      <c r="K34" s="45"/>
      <c r="L34" s="45"/>
      <c r="M34" s="46"/>
      <c r="N34" s="46"/>
      <c r="O34" s="46"/>
      <c r="P34" s="46"/>
      <c r="Q34" s="46"/>
      <c r="R34" s="46"/>
      <c r="S34" s="47" t="str">
        <f aca="false">IF(COUNT(G34:L34)=0,"",SUM(G34:L34))</f>
        <v/>
      </c>
      <c r="T34" s="48" t="str">
        <f aca="false">IF(COUNT(M34:R34)=0,"",SUM(M34:R34))</f>
        <v/>
      </c>
      <c r="U34" s="40"/>
      <c r="V34" s="42"/>
      <c r="Y34" s="49" t="str">
        <f aca="false">IF(AND(A34="",B34="",D34="",COUNT(G34:L34)=0),"",IF(D34="","Missing shooter",IF(A34="","Missing date",IF(B34="","Missing event",IF(E34="","Club not in roster (type manually)",IF(COUNT(G34:L34)=0,"No scores entered",IF(U34="","Set status (official/provisional)",IF(COUNTIFS($A$2:$A$101,A34,$B$2:$B$101,B34,$D$2:$D$101,D34)&gt;1,"Duplicate entry","OK to upload"))))))))</f>
        <v/>
      </c>
    </row>
    <row r="35" customFormat="false" ht="15" hidden="false" customHeight="true" outlineLevel="0" collapsed="false">
      <c r="A35" s="41"/>
      <c r="B35" s="40"/>
      <c r="C35" s="40"/>
      <c r="D35" s="40"/>
      <c r="E35" s="44" t="str">
        <f aca="false">IFERROR(IF(D35="","",VLOOKUP(D35,Members!$A$2:$C$16,2,FALSE())),"")</f>
        <v/>
      </c>
      <c r="F35" s="44" t="str">
        <f aca="false">IFERROR(IF(D35="","",VLOOKUP(D35,Members!$A$2:$C$16,3,FALSE())),"")</f>
        <v/>
      </c>
      <c r="G35" s="45"/>
      <c r="H35" s="45"/>
      <c r="I35" s="45"/>
      <c r="J35" s="45"/>
      <c r="K35" s="45"/>
      <c r="L35" s="45"/>
      <c r="M35" s="46"/>
      <c r="N35" s="46"/>
      <c r="O35" s="46"/>
      <c r="P35" s="46"/>
      <c r="Q35" s="46"/>
      <c r="R35" s="46"/>
      <c r="S35" s="47" t="str">
        <f aca="false">IF(COUNT(G35:L35)=0,"",SUM(G35:L35))</f>
        <v/>
      </c>
      <c r="T35" s="48" t="str">
        <f aca="false">IF(COUNT(M35:R35)=0,"",SUM(M35:R35))</f>
        <v/>
      </c>
      <c r="U35" s="40"/>
      <c r="V35" s="42"/>
      <c r="Y35" s="49" t="str">
        <f aca="false">IF(AND(A35="",B35="",D35="",COUNT(G35:L35)=0),"",IF(D35="","Missing shooter",IF(A35="","Missing date",IF(B35="","Missing event",IF(E35="","Club not in roster (type manually)",IF(COUNT(G35:L35)=0,"No scores entered",IF(U35="","Set status (official/provisional)",IF(COUNTIFS($A$2:$A$101,A35,$B$2:$B$101,B35,$D$2:$D$101,D35)&gt;1,"Duplicate entry","OK to upload"))))))))</f>
        <v/>
      </c>
    </row>
    <row r="36" customFormat="false" ht="15" hidden="false" customHeight="true" outlineLevel="0" collapsed="false">
      <c r="A36" s="41"/>
      <c r="B36" s="40"/>
      <c r="C36" s="40"/>
      <c r="D36" s="40"/>
      <c r="E36" s="44" t="str">
        <f aca="false">IFERROR(IF(D36="","",VLOOKUP(D36,Members!$A$2:$C$16,2,FALSE())),"")</f>
        <v/>
      </c>
      <c r="F36" s="44" t="str">
        <f aca="false">IFERROR(IF(D36="","",VLOOKUP(D36,Members!$A$2:$C$16,3,FALSE())),"")</f>
        <v/>
      </c>
      <c r="G36" s="45"/>
      <c r="H36" s="45"/>
      <c r="I36" s="45"/>
      <c r="J36" s="45"/>
      <c r="K36" s="45"/>
      <c r="L36" s="45"/>
      <c r="M36" s="46"/>
      <c r="N36" s="46"/>
      <c r="O36" s="46"/>
      <c r="P36" s="46"/>
      <c r="Q36" s="46"/>
      <c r="R36" s="46"/>
      <c r="S36" s="47" t="str">
        <f aca="false">IF(COUNT(G36:L36)=0,"",SUM(G36:L36))</f>
        <v/>
      </c>
      <c r="T36" s="48" t="str">
        <f aca="false">IF(COUNT(M36:R36)=0,"",SUM(M36:R36))</f>
        <v/>
      </c>
      <c r="U36" s="40"/>
      <c r="V36" s="42"/>
      <c r="Y36" s="49" t="str">
        <f aca="false">IF(AND(A36="",B36="",D36="",COUNT(G36:L36)=0),"",IF(D36="","Missing shooter",IF(A36="","Missing date",IF(B36="","Missing event",IF(E36="","Club not in roster (type manually)",IF(COUNT(G36:L36)=0,"No scores entered",IF(U36="","Set status (official/provisional)",IF(COUNTIFS($A$2:$A$101,A36,$B$2:$B$101,B36,$D$2:$D$101,D36)&gt;1,"Duplicate entry","OK to upload"))))))))</f>
        <v/>
      </c>
    </row>
    <row r="37" customFormat="false" ht="15" hidden="false" customHeight="true" outlineLevel="0" collapsed="false">
      <c r="A37" s="41"/>
      <c r="B37" s="40"/>
      <c r="C37" s="40"/>
      <c r="D37" s="40"/>
      <c r="E37" s="44" t="str">
        <f aca="false">IFERROR(IF(D37="","",VLOOKUP(D37,Members!$A$2:$C$16,2,FALSE())),"")</f>
        <v/>
      </c>
      <c r="F37" s="44" t="str">
        <f aca="false">IFERROR(IF(D37="","",VLOOKUP(D37,Members!$A$2:$C$16,3,FALSE())),"")</f>
        <v/>
      </c>
      <c r="G37" s="45"/>
      <c r="H37" s="45"/>
      <c r="I37" s="45"/>
      <c r="J37" s="45"/>
      <c r="K37" s="45"/>
      <c r="L37" s="45"/>
      <c r="M37" s="46"/>
      <c r="N37" s="46"/>
      <c r="O37" s="46"/>
      <c r="P37" s="46"/>
      <c r="Q37" s="46"/>
      <c r="R37" s="46"/>
      <c r="S37" s="47" t="str">
        <f aca="false">IF(COUNT(G37:L37)=0,"",SUM(G37:L37))</f>
        <v/>
      </c>
      <c r="T37" s="48" t="str">
        <f aca="false">IF(COUNT(M37:R37)=0,"",SUM(M37:R37))</f>
        <v/>
      </c>
      <c r="U37" s="40"/>
      <c r="V37" s="42"/>
      <c r="Y37" s="49" t="str">
        <f aca="false">IF(AND(A37="",B37="",D37="",COUNT(G37:L37)=0),"",IF(D37="","Missing shooter",IF(A37="","Missing date",IF(B37="","Missing event",IF(E37="","Club not in roster (type manually)",IF(COUNT(G37:L37)=0,"No scores entered",IF(U37="","Set status (official/provisional)",IF(COUNTIFS($A$2:$A$101,A37,$B$2:$B$101,B37,$D$2:$D$101,D37)&gt;1,"Duplicate entry","OK to upload"))))))))</f>
        <v/>
      </c>
    </row>
    <row r="38" customFormat="false" ht="15" hidden="false" customHeight="true" outlineLevel="0" collapsed="false">
      <c r="A38" s="41"/>
      <c r="B38" s="40"/>
      <c r="C38" s="40"/>
      <c r="D38" s="40"/>
      <c r="E38" s="44" t="str">
        <f aca="false">IFERROR(IF(D38="","",VLOOKUP(D38,Members!$A$2:$C$16,2,FALSE())),"")</f>
        <v/>
      </c>
      <c r="F38" s="44" t="str">
        <f aca="false">IFERROR(IF(D38="","",VLOOKUP(D38,Members!$A$2:$C$16,3,FALSE())),"")</f>
        <v/>
      </c>
      <c r="G38" s="45"/>
      <c r="H38" s="45"/>
      <c r="I38" s="45"/>
      <c r="J38" s="45"/>
      <c r="K38" s="45"/>
      <c r="L38" s="45"/>
      <c r="M38" s="46"/>
      <c r="N38" s="46"/>
      <c r="O38" s="46"/>
      <c r="P38" s="46"/>
      <c r="Q38" s="46"/>
      <c r="R38" s="46"/>
      <c r="S38" s="47" t="str">
        <f aca="false">IF(COUNT(G38:L38)=0,"",SUM(G38:L38))</f>
        <v/>
      </c>
      <c r="T38" s="48" t="str">
        <f aca="false">IF(COUNT(M38:R38)=0,"",SUM(M38:R38))</f>
        <v/>
      </c>
      <c r="U38" s="40"/>
      <c r="V38" s="42"/>
      <c r="Y38" s="49" t="str">
        <f aca="false">IF(AND(A38="",B38="",D38="",COUNT(G38:L38)=0),"",IF(D38="","Missing shooter",IF(A38="","Missing date",IF(B38="","Missing event",IF(E38="","Club not in roster (type manually)",IF(COUNT(G38:L38)=0,"No scores entered",IF(U38="","Set status (official/provisional)",IF(COUNTIFS($A$2:$A$101,A38,$B$2:$B$101,B38,$D$2:$D$101,D38)&gt;1,"Duplicate entry","OK to upload"))))))))</f>
        <v/>
      </c>
    </row>
    <row r="39" customFormat="false" ht="15" hidden="false" customHeight="true" outlineLevel="0" collapsed="false">
      <c r="A39" s="41"/>
      <c r="B39" s="40"/>
      <c r="C39" s="40"/>
      <c r="D39" s="40"/>
      <c r="E39" s="44" t="str">
        <f aca="false">IFERROR(IF(D39="","",VLOOKUP(D39,Members!$A$2:$C$16,2,FALSE())),"")</f>
        <v/>
      </c>
      <c r="F39" s="44" t="str">
        <f aca="false">IFERROR(IF(D39="","",VLOOKUP(D39,Members!$A$2:$C$16,3,FALSE())),"")</f>
        <v/>
      </c>
      <c r="G39" s="45"/>
      <c r="H39" s="45"/>
      <c r="I39" s="45"/>
      <c r="J39" s="45"/>
      <c r="K39" s="45"/>
      <c r="L39" s="45"/>
      <c r="M39" s="46"/>
      <c r="N39" s="46"/>
      <c r="O39" s="46"/>
      <c r="P39" s="46"/>
      <c r="Q39" s="46"/>
      <c r="R39" s="46"/>
      <c r="S39" s="47" t="str">
        <f aca="false">IF(COUNT(G39:L39)=0,"",SUM(G39:L39))</f>
        <v/>
      </c>
      <c r="T39" s="48" t="str">
        <f aca="false">IF(COUNT(M39:R39)=0,"",SUM(M39:R39))</f>
        <v/>
      </c>
      <c r="U39" s="40"/>
      <c r="V39" s="42"/>
      <c r="Y39" s="49" t="str">
        <f aca="false">IF(AND(A39="",B39="",D39="",COUNT(G39:L39)=0),"",IF(D39="","Missing shooter",IF(A39="","Missing date",IF(B39="","Missing event",IF(E39="","Club not in roster (type manually)",IF(COUNT(G39:L39)=0,"No scores entered",IF(U39="","Set status (official/provisional)",IF(COUNTIFS($A$2:$A$101,A39,$B$2:$B$101,B39,$D$2:$D$101,D39)&gt;1,"Duplicate entry","OK to upload"))))))))</f>
        <v/>
      </c>
    </row>
    <row r="40" customFormat="false" ht="15" hidden="false" customHeight="true" outlineLevel="0" collapsed="false">
      <c r="A40" s="41"/>
      <c r="B40" s="40"/>
      <c r="C40" s="40"/>
      <c r="D40" s="40"/>
      <c r="E40" s="44" t="str">
        <f aca="false">IFERROR(IF(D40="","",VLOOKUP(D40,Members!$A$2:$C$16,2,FALSE())),"")</f>
        <v/>
      </c>
      <c r="F40" s="44" t="str">
        <f aca="false">IFERROR(IF(D40="","",VLOOKUP(D40,Members!$A$2:$C$16,3,FALSE())),"")</f>
        <v/>
      </c>
      <c r="G40" s="45"/>
      <c r="H40" s="45"/>
      <c r="I40" s="45"/>
      <c r="J40" s="45"/>
      <c r="K40" s="45"/>
      <c r="L40" s="45"/>
      <c r="M40" s="46"/>
      <c r="N40" s="46"/>
      <c r="O40" s="46"/>
      <c r="P40" s="46"/>
      <c r="Q40" s="46"/>
      <c r="R40" s="46"/>
      <c r="S40" s="47" t="str">
        <f aca="false">IF(COUNT(G40:L40)=0,"",SUM(G40:L40))</f>
        <v/>
      </c>
      <c r="T40" s="48" t="str">
        <f aca="false">IF(COUNT(M40:R40)=0,"",SUM(M40:R40))</f>
        <v/>
      </c>
      <c r="U40" s="40"/>
      <c r="V40" s="42"/>
      <c r="Y40" s="49" t="str">
        <f aca="false">IF(AND(A40="",B40="",D40="",COUNT(G40:L40)=0),"",IF(D40="","Missing shooter",IF(A40="","Missing date",IF(B40="","Missing event",IF(E40="","Club not in roster (type manually)",IF(COUNT(G40:L40)=0,"No scores entered",IF(U40="","Set status (official/provisional)",IF(COUNTIFS($A$2:$A$101,A40,$B$2:$B$101,B40,$D$2:$D$101,D40)&gt;1,"Duplicate entry","OK to upload"))))))))</f>
        <v/>
      </c>
    </row>
    <row r="41" customFormat="false" ht="15" hidden="false" customHeight="true" outlineLevel="0" collapsed="false">
      <c r="A41" s="41"/>
      <c r="B41" s="40"/>
      <c r="C41" s="40"/>
      <c r="D41" s="40"/>
      <c r="E41" s="44" t="str">
        <f aca="false">IFERROR(IF(D41="","",VLOOKUP(D41,Members!$A$2:$C$16,2,FALSE())),"")</f>
        <v/>
      </c>
      <c r="F41" s="44" t="str">
        <f aca="false">IFERROR(IF(D41="","",VLOOKUP(D41,Members!$A$2:$C$16,3,FALSE())),"")</f>
        <v/>
      </c>
      <c r="G41" s="45"/>
      <c r="H41" s="45"/>
      <c r="I41" s="45"/>
      <c r="J41" s="45"/>
      <c r="K41" s="45"/>
      <c r="L41" s="45"/>
      <c r="M41" s="46"/>
      <c r="N41" s="46"/>
      <c r="O41" s="46"/>
      <c r="P41" s="46"/>
      <c r="Q41" s="46"/>
      <c r="R41" s="46"/>
      <c r="S41" s="47" t="str">
        <f aca="false">IF(COUNT(G41:L41)=0,"",SUM(G41:L41))</f>
        <v/>
      </c>
      <c r="T41" s="48" t="str">
        <f aca="false">IF(COUNT(M41:R41)=0,"",SUM(M41:R41))</f>
        <v/>
      </c>
      <c r="U41" s="40"/>
      <c r="V41" s="42"/>
      <c r="Y41" s="49" t="str">
        <f aca="false">IF(AND(A41="",B41="",D41="",COUNT(G41:L41)=0),"",IF(D41="","Missing shooter",IF(A41="","Missing date",IF(B41="","Missing event",IF(E41="","Club not in roster (type manually)",IF(COUNT(G41:L41)=0,"No scores entered",IF(U41="","Set status (official/provisional)",IF(COUNTIFS($A$2:$A$101,A41,$B$2:$B$101,B41,$D$2:$D$101,D41)&gt;1,"Duplicate entry","OK to upload"))))))))</f>
        <v/>
      </c>
    </row>
    <row r="42" customFormat="false" ht="15" hidden="false" customHeight="true" outlineLevel="0" collapsed="false">
      <c r="A42" s="41"/>
      <c r="B42" s="40"/>
      <c r="C42" s="40"/>
      <c r="D42" s="40"/>
      <c r="E42" s="44" t="str">
        <f aca="false">IFERROR(IF(D42="","",VLOOKUP(D42,Members!$A$2:$C$16,2,FALSE())),"")</f>
        <v/>
      </c>
      <c r="F42" s="44" t="str">
        <f aca="false">IFERROR(IF(D42="","",VLOOKUP(D42,Members!$A$2:$C$16,3,FALSE())),"")</f>
        <v/>
      </c>
      <c r="G42" s="45"/>
      <c r="H42" s="45"/>
      <c r="I42" s="45"/>
      <c r="J42" s="45"/>
      <c r="K42" s="45"/>
      <c r="L42" s="45"/>
      <c r="M42" s="46"/>
      <c r="N42" s="46"/>
      <c r="O42" s="46"/>
      <c r="P42" s="46"/>
      <c r="Q42" s="46"/>
      <c r="R42" s="46"/>
      <c r="S42" s="47" t="str">
        <f aca="false">IF(COUNT(G42:L42)=0,"",SUM(G42:L42))</f>
        <v/>
      </c>
      <c r="T42" s="48" t="str">
        <f aca="false">IF(COUNT(M42:R42)=0,"",SUM(M42:R42))</f>
        <v/>
      </c>
      <c r="U42" s="40"/>
      <c r="V42" s="42"/>
      <c r="Y42" s="49" t="str">
        <f aca="false">IF(AND(A42="",B42="",D42="",COUNT(G42:L42)=0),"",IF(D42="","Missing shooter",IF(A42="","Missing date",IF(B42="","Missing event",IF(E42="","Club not in roster (type manually)",IF(COUNT(G42:L42)=0,"No scores entered",IF(U42="","Set status (official/provisional)",IF(COUNTIFS($A$2:$A$101,A42,$B$2:$B$101,B42,$D$2:$D$101,D42)&gt;1,"Duplicate entry","OK to upload"))))))))</f>
        <v/>
      </c>
    </row>
    <row r="43" customFormat="false" ht="15" hidden="false" customHeight="true" outlineLevel="0" collapsed="false">
      <c r="A43" s="41"/>
      <c r="B43" s="40"/>
      <c r="C43" s="40"/>
      <c r="D43" s="40"/>
      <c r="E43" s="44" t="str">
        <f aca="false">IFERROR(IF(D43="","",VLOOKUP(D43,Members!$A$2:$C$16,2,FALSE())),"")</f>
        <v/>
      </c>
      <c r="F43" s="44" t="str">
        <f aca="false">IFERROR(IF(D43="","",VLOOKUP(D43,Members!$A$2:$C$16,3,FALSE())),"")</f>
        <v/>
      </c>
      <c r="G43" s="45"/>
      <c r="H43" s="45"/>
      <c r="I43" s="45"/>
      <c r="J43" s="45"/>
      <c r="K43" s="45"/>
      <c r="L43" s="45"/>
      <c r="M43" s="46"/>
      <c r="N43" s="46"/>
      <c r="O43" s="46"/>
      <c r="P43" s="46"/>
      <c r="Q43" s="46"/>
      <c r="R43" s="46"/>
      <c r="S43" s="47" t="str">
        <f aca="false">IF(COUNT(G43:L43)=0,"",SUM(G43:L43))</f>
        <v/>
      </c>
      <c r="T43" s="48" t="str">
        <f aca="false">IF(COUNT(M43:R43)=0,"",SUM(M43:R43))</f>
        <v/>
      </c>
      <c r="U43" s="40"/>
      <c r="V43" s="42"/>
      <c r="Y43" s="49" t="str">
        <f aca="false">IF(AND(A43="",B43="",D43="",COUNT(G43:L43)=0),"",IF(D43="","Missing shooter",IF(A43="","Missing date",IF(B43="","Missing event",IF(E43="","Club not in roster (type manually)",IF(COUNT(G43:L43)=0,"No scores entered",IF(U43="","Set status (official/provisional)",IF(COUNTIFS($A$2:$A$101,A43,$B$2:$B$101,B43,$D$2:$D$101,D43)&gt;1,"Duplicate entry","OK to upload"))))))))</f>
        <v/>
      </c>
    </row>
    <row r="44" customFormat="false" ht="15" hidden="false" customHeight="true" outlineLevel="0" collapsed="false">
      <c r="A44" s="41"/>
      <c r="B44" s="40"/>
      <c r="C44" s="40"/>
      <c r="D44" s="40"/>
      <c r="E44" s="44" t="str">
        <f aca="false">IFERROR(IF(D44="","",VLOOKUP(D44,Members!$A$2:$C$16,2,FALSE())),"")</f>
        <v/>
      </c>
      <c r="F44" s="44" t="str">
        <f aca="false">IFERROR(IF(D44="","",VLOOKUP(D44,Members!$A$2:$C$16,3,FALSE())),"")</f>
        <v/>
      </c>
      <c r="G44" s="45"/>
      <c r="H44" s="45"/>
      <c r="I44" s="45"/>
      <c r="J44" s="45"/>
      <c r="K44" s="45"/>
      <c r="L44" s="45"/>
      <c r="M44" s="46"/>
      <c r="N44" s="46"/>
      <c r="O44" s="46"/>
      <c r="P44" s="46"/>
      <c r="Q44" s="46"/>
      <c r="R44" s="46"/>
      <c r="S44" s="47" t="str">
        <f aca="false">IF(COUNT(G44:L44)=0,"",SUM(G44:L44))</f>
        <v/>
      </c>
      <c r="T44" s="48" t="str">
        <f aca="false">IF(COUNT(M44:R44)=0,"",SUM(M44:R44))</f>
        <v/>
      </c>
      <c r="U44" s="40"/>
      <c r="V44" s="42"/>
      <c r="Y44" s="49" t="str">
        <f aca="false">IF(AND(A44="",B44="",D44="",COUNT(G44:L44)=0),"",IF(D44="","Missing shooter",IF(A44="","Missing date",IF(B44="","Missing event",IF(E44="","Club not in roster (type manually)",IF(COUNT(G44:L44)=0,"No scores entered",IF(U44="","Set status (official/provisional)",IF(COUNTIFS($A$2:$A$101,A44,$B$2:$B$101,B44,$D$2:$D$101,D44)&gt;1,"Duplicate entry","OK to upload"))))))))</f>
        <v/>
      </c>
    </row>
    <row r="45" customFormat="false" ht="15" hidden="false" customHeight="true" outlineLevel="0" collapsed="false">
      <c r="A45" s="41"/>
      <c r="B45" s="40"/>
      <c r="C45" s="40"/>
      <c r="D45" s="40"/>
      <c r="E45" s="44" t="str">
        <f aca="false">IFERROR(IF(D45="","",VLOOKUP(D45,Members!$A$2:$C$16,2,FALSE())),"")</f>
        <v/>
      </c>
      <c r="F45" s="44" t="str">
        <f aca="false">IFERROR(IF(D45="","",VLOOKUP(D45,Members!$A$2:$C$16,3,FALSE())),"")</f>
        <v/>
      </c>
      <c r="G45" s="45"/>
      <c r="H45" s="45"/>
      <c r="I45" s="45"/>
      <c r="J45" s="45"/>
      <c r="K45" s="45"/>
      <c r="L45" s="45"/>
      <c r="M45" s="46"/>
      <c r="N45" s="46"/>
      <c r="O45" s="46"/>
      <c r="P45" s="46"/>
      <c r="Q45" s="46"/>
      <c r="R45" s="46"/>
      <c r="S45" s="47" t="str">
        <f aca="false">IF(COUNT(G45:L45)=0,"",SUM(G45:L45))</f>
        <v/>
      </c>
      <c r="T45" s="48" t="str">
        <f aca="false">IF(COUNT(M45:R45)=0,"",SUM(M45:R45))</f>
        <v/>
      </c>
      <c r="U45" s="40"/>
      <c r="V45" s="42"/>
      <c r="Y45" s="49" t="str">
        <f aca="false">IF(AND(A45="",B45="",D45="",COUNT(G45:L45)=0),"",IF(D45="","Missing shooter",IF(A45="","Missing date",IF(B45="","Missing event",IF(E45="","Club not in roster (type manually)",IF(COUNT(G45:L45)=0,"No scores entered",IF(U45="","Set status (official/provisional)",IF(COUNTIFS($A$2:$A$101,A45,$B$2:$B$101,B45,$D$2:$D$101,D45)&gt;1,"Duplicate entry","OK to upload"))))))))</f>
        <v/>
      </c>
    </row>
    <row r="46" customFormat="false" ht="15" hidden="false" customHeight="true" outlineLevel="0" collapsed="false">
      <c r="A46" s="41"/>
      <c r="B46" s="40"/>
      <c r="C46" s="40"/>
      <c r="D46" s="40"/>
      <c r="E46" s="44" t="str">
        <f aca="false">IFERROR(IF(D46="","",VLOOKUP(D46,Members!$A$2:$C$16,2,FALSE())),"")</f>
        <v/>
      </c>
      <c r="F46" s="44" t="str">
        <f aca="false">IFERROR(IF(D46="","",VLOOKUP(D46,Members!$A$2:$C$16,3,FALSE())),"")</f>
        <v/>
      </c>
      <c r="G46" s="45"/>
      <c r="H46" s="45"/>
      <c r="I46" s="45"/>
      <c r="J46" s="45"/>
      <c r="K46" s="45"/>
      <c r="L46" s="45"/>
      <c r="M46" s="46"/>
      <c r="N46" s="46"/>
      <c r="O46" s="46"/>
      <c r="P46" s="46"/>
      <c r="Q46" s="46"/>
      <c r="R46" s="46"/>
      <c r="S46" s="47" t="str">
        <f aca="false">IF(COUNT(G46:L46)=0,"",SUM(G46:L46))</f>
        <v/>
      </c>
      <c r="T46" s="48" t="str">
        <f aca="false">IF(COUNT(M46:R46)=0,"",SUM(M46:R46))</f>
        <v/>
      </c>
      <c r="U46" s="40"/>
      <c r="V46" s="42"/>
      <c r="Y46" s="49" t="str">
        <f aca="false">IF(AND(A46="",B46="",D46="",COUNT(G46:L46)=0),"",IF(D46="","Missing shooter",IF(A46="","Missing date",IF(B46="","Missing event",IF(E46="","Club not in roster (type manually)",IF(COUNT(G46:L46)=0,"No scores entered",IF(U46="","Set status (official/provisional)",IF(COUNTIFS($A$2:$A$101,A46,$B$2:$B$101,B46,$D$2:$D$101,D46)&gt;1,"Duplicate entry","OK to upload"))))))))</f>
        <v/>
      </c>
    </row>
    <row r="47" customFormat="false" ht="15" hidden="false" customHeight="true" outlineLevel="0" collapsed="false">
      <c r="A47" s="41"/>
      <c r="B47" s="40"/>
      <c r="C47" s="40"/>
      <c r="D47" s="40"/>
      <c r="E47" s="44" t="str">
        <f aca="false">IFERROR(IF(D47="","",VLOOKUP(D47,Members!$A$2:$C$16,2,FALSE())),"")</f>
        <v/>
      </c>
      <c r="F47" s="44" t="str">
        <f aca="false">IFERROR(IF(D47="","",VLOOKUP(D47,Members!$A$2:$C$16,3,FALSE())),"")</f>
        <v/>
      </c>
      <c r="G47" s="45"/>
      <c r="H47" s="45"/>
      <c r="I47" s="45"/>
      <c r="J47" s="45"/>
      <c r="K47" s="45"/>
      <c r="L47" s="45"/>
      <c r="M47" s="46"/>
      <c r="N47" s="46"/>
      <c r="O47" s="46"/>
      <c r="P47" s="46"/>
      <c r="Q47" s="46"/>
      <c r="R47" s="46"/>
      <c r="S47" s="47" t="str">
        <f aca="false">IF(COUNT(G47:L47)=0,"",SUM(G47:L47))</f>
        <v/>
      </c>
      <c r="T47" s="48" t="str">
        <f aca="false">IF(COUNT(M47:R47)=0,"",SUM(M47:R47))</f>
        <v/>
      </c>
      <c r="U47" s="40"/>
      <c r="V47" s="42"/>
      <c r="Y47" s="49" t="str">
        <f aca="false">IF(AND(A47="",B47="",D47="",COUNT(G47:L47)=0),"",IF(D47="","Missing shooter",IF(A47="","Missing date",IF(B47="","Missing event",IF(E47="","Club not in roster (type manually)",IF(COUNT(G47:L47)=0,"No scores entered",IF(U47="","Set status (official/provisional)",IF(COUNTIFS($A$2:$A$101,A47,$B$2:$B$101,B47,$D$2:$D$101,D47)&gt;1,"Duplicate entry","OK to upload"))))))))</f>
        <v/>
      </c>
    </row>
    <row r="48" customFormat="false" ht="15" hidden="false" customHeight="true" outlineLevel="0" collapsed="false">
      <c r="A48" s="41"/>
      <c r="B48" s="40"/>
      <c r="C48" s="40"/>
      <c r="D48" s="40"/>
      <c r="E48" s="44" t="str">
        <f aca="false">IFERROR(IF(D48="","",VLOOKUP(D48,Members!$A$2:$C$16,2,FALSE())),"")</f>
        <v/>
      </c>
      <c r="F48" s="44" t="str">
        <f aca="false">IFERROR(IF(D48="","",VLOOKUP(D48,Members!$A$2:$C$16,3,FALSE())),"")</f>
        <v/>
      </c>
      <c r="G48" s="45"/>
      <c r="H48" s="45"/>
      <c r="I48" s="45"/>
      <c r="J48" s="45"/>
      <c r="K48" s="45"/>
      <c r="L48" s="45"/>
      <c r="M48" s="46"/>
      <c r="N48" s="46"/>
      <c r="O48" s="46"/>
      <c r="P48" s="46"/>
      <c r="Q48" s="46"/>
      <c r="R48" s="46"/>
      <c r="S48" s="47" t="str">
        <f aca="false">IF(COUNT(G48:L48)=0,"",SUM(G48:L48))</f>
        <v/>
      </c>
      <c r="T48" s="48" t="str">
        <f aca="false">IF(COUNT(M48:R48)=0,"",SUM(M48:R48))</f>
        <v/>
      </c>
      <c r="U48" s="40"/>
      <c r="V48" s="42"/>
      <c r="Y48" s="49" t="str">
        <f aca="false">IF(AND(A48="",B48="",D48="",COUNT(G48:L48)=0),"",IF(D48="","Missing shooter",IF(A48="","Missing date",IF(B48="","Missing event",IF(E48="","Club not in roster (type manually)",IF(COUNT(G48:L48)=0,"No scores entered",IF(U48="","Set status (official/provisional)",IF(COUNTIFS($A$2:$A$101,A48,$B$2:$B$101,B48,$D$2:$D$101,D48)&gt;1,"Duplicate entry","OK to upload"))))))))</f>
        <v/>
      </c>
    </row>
    <row r="49" customFormat="false" ht="15" hidden="false" customHeight="true" outlineLevel="0" collapsed="false">
      <c r="A49" s="41"/>
      <c r="B49" s="40"/>
      <c r="C49" s="40"/>
      <c r="D49" s="40"/>
      <c r="E49" s="44" t="str">
        <f aca="false">IFERROR(IF(D49="","",VLOOKUP(D49,Members!$A$2:$C$16,2,FALSE())),"")</f>
        <v/>
      </c>
      <c r="F49" s="44" t="str">
        <f aca="false">IFERROR(IF(D49="","",VLOOKUP(D49,Members!$A$2:$C$16,3,FALSE())),"")</f>
        <v/>
      </c>
      <c r="G49" s="45"/>
      <c r="H49" s="45"/>
      <c r="I49" s="45"/>
      <c r="J49" s="45"/>
      <c r="K49" s="45"/>
      <c r="L49" s="45"/>
      <c r="M49" s="46"/>
      <c r="N49" s="46"/>
      <c r="O49" s="46"/>
      <c r="P49" s="46"/>
      <c r="Q49" s="46"/>
      <c r="R49" s="46"/>
      <c r="S49" s="47" t="str">
        <f aca="false">IF(COUNT(G49:L49)=0,"",SUM(G49:L49))</f>
        <v/>
      </c>
      <c r="T49" s="48" t="str">
        <f aca="false">IF(COUNT(M49:R49)=0,"",SUM(M49:R49))</f>
        <v/>
      </c>
      <c r="U49" s="40"/>
      <c r="V49" s="42"/>
      <c r="Y49" s="49" t="str">
        <f aca="false">IF(AND(A49="",B49="",D49="",COUNT(G49:L49)=0),"",IF(D49="","Missing shooter",IF(A49="","Missing date",IF(B49="","Missing event",IF(E49="","Club not in roster (type manually)",IF(COUNT(G49:L49)=0,"No scores entered",IF(U49="","Set status (official/provisional)",IF(COUNTIFS($A$2:$A$101,A49,$B$2:$B$101,B49,$D$2:$D$101,D49)&gt;1,"Duplicate entry","OK to upload"))))))))</f>
        <v/>
      </c>
    </row>
    <row r="50" customFormat="false" ht="15" hidden="false" customHeight="true" outlineLevel="0" collapsed="false">
      <c r="A50" s="41"/>
      <c r="B50" s="40"/>
      <c r="C50" s="40"/>
      <c r="D50" s="40"/>
      <c r="E50" s="44" t="str">
        <f aca="false">IFERROR(IF(D50="","",VLOOKUP(D50,Members!$A$2:$C$16,2,FALSE())),"")</f>
        <v/>
      </c>
      <c r="F50" s="44" t="str">
        <f aca="false">IFERROR(IF(D50="","",VLOOKUP(D50,Members!$A$2:$C$16,3,FALSE())),"")</f>
        <v/>
      </c>
      <c r="G50" s="45"/>
      <c r="H50" s="45"/>
      <c r="I50" s="45"/>
      <c r="J50" s="45"/>
      <c r="K50" s="45"/>
      <c r="L50" s="45"/>
      <c r="M50" s="46"/>
      <c r="N50" s="46"/>
      <c r="O50" s="46"/>
      <c r="P50" s="46"/>
      <c r="Q50" s="46"/>
      <c r="R50" s="46"/>
      <c r="S50" s="47" t="str">
        <f aca="false">IF(COUNT(G50:L50)=0,"",SUM(G50:L50))</f>
        <v/>
      </c>
      <c r="T50" s="48" t="str">
        <f aca="false">IF(COUNT(M50:R50)=0,"",SUM(M50:R50))</f>
        <v/>
      </c>
      <c r="U50" s="40"/>
      <c r="V50" s="42"/>
      <c r="Y50" s="49" t="str">
        <f aca="false">IF(AND(A50="",B50="",D50="",COUNT(G50:L50)=0),"",IF(D50="","Missing shooter",IF(A50="","Missing date",IF(B50="","Missing event",IF(E50="","Club not in roster (type manually)",IF(COUNT(G50:L50)=0,"No scores entered",IF(U50="","Set status (official/provisional)",IF(COUNTIFS($A$2:$A$101,A50,$B$2:$B$101,B50,$D$2:$D$101,D50)&gt;1,"Duplicate entry","OK to upload"))))))))</f>
        <v/>
      </c>
    </row>
    <row r="51" customFormat="false" ht="15" hidden="false" customHeight="true" outlineLevel="0" collapsed="false">
      <c r="A51" s="41"/>
      <c r="B51" s="40"/>
      <c r="C51" s="40"/>
      <c r="D51" s="40"/>
      <c r="E51" s="44" t="str">
        <f aca="false">IFERROR(IF(D51="","",VLOOKUP(D51,Members!$A$2:$C$16,2,FALSE())),"")</f>
        <v/>
      </c>
      <c r="F51" s="44" t="str">
        <f aca="false">IFERROR(IF(D51="","",VLOOKUP(D51,Members!$A$2:$C$16,3,FALSE())),"")</f>
        <v/>
      </c>
      <c r="G51" s="45"/>
      <c r="H51" s="45"/>
      <c r="I51" s="45"/>
      <c r="J51" s="45"/>
      <c r="K51" s="45"/>
      <c r="L51" s="45"/>
      <c r="M51" s="46"/>
      <c r="N51" s="46"/>
      <c r="O51" s="46"/>
      <c r="P51" s="46"/>
      <c r="Q51" s="46"/>
      <c r="R51" s="46"/>
      <c r="S51" s="47" t="str">
        <f aca="false">IF(COUNT(G51:L51)=0,"",SUM(G51:L51))</f>
        <v/>
      </c>
      <c r="T51" s="48" t="str">
        <f aca="false">IF(COUNT(M51:R51)=0,"",SUM(M51:R51))</f>
        <v/>
      </c>
      <c r="U51" s="40"/>
      <c r="V51" s="42"/>
      <c r="Y51" s="49" t="str">
        <f aca="false">IF(AND(A51="",B51="",D51="",COUNT(G51:L51)=0),"",IF(D51="","Missing shooter",IF(A51="","Missing date",IF(B51="","Missing event",IF(E51="","Club not in roster (type manually)",IF(COUNT(G51:L51)=0,"No scores entered",IF(U51="","Set status (official/provisional)",IF(COUNTIFS($A$2:$A$101,A51,$B$2:$B$101,B51,$D$2:$D$101,D51)&gt;1,"Duplicate entry","OK to upload"))))))))</f>
        <v/>
      </c>
    </row>
    <row r="52" customFormat="false" ht="15" hidden="false" customHeight="true" outlineLevel="0" collapsed="false">
      <c r="A52" s="41"/>
      <c r="B52" s="40"/>
      <c r="C52" s="40"/>
      <c r="D52" s="40"/>
      <c r="E52" s="44" t="str">
        <f aca="false">IFERROR(IF(D52="","",VLOOKUP(D52,Members!$A$2:$C$16,2,FALSE())),"")</f>
        <v/>
      </c>
      <c r="F52" s="44" t="str">
        <f aca="false">IFERROR(IF(D52="","",VLOOKUP(D52,Members!$A$2:$C$16,3,FALSE())),"")</f>
        <v/>
      </c>
      <c r="G52" s="45"/>
      <c r="H52" s="45"/>
      <c r="I52" s="45"/>
      <c r="J52" s="45"/>
      <c r="K52" s="45"/>
      <c r="L52" s="45"/>
      <c r="M52" s="46"/>
      <c r="N52" s="46"/>
      <c r="O52" s="46"/>
      <c r="P52" s="46"/>
      <c r="Q52" s="46"/>
      <c r="R52" s="46"/>
      <c r="S52" s="47" t="str">
        <f aca="false">IF(COUNT(G52:L52)=0,"",SUM(G52:L52))</f>
        <v/>
      </c>
      <c r="T52" s="48" t="str">
        <f aca="false">IF(COUNT(M52:R52)=0,"",SUM(M52:R52))</f>
        <v/>
      </c>
      <c r="U52" s="40"/>
      <c r="V52" s="42"/>
      <c r="Y52" s="49" t="str">
        <f aca="false">IF(AND(A52="",B52="",D52="",COUNT(G52:L52)=0),"",IF(D52="","Missing shooter",IF(A52="","Missing date",IF(B52="","Missing event",IF(E52="","Club not in roster (type manually)",IF(COUNT(G52:L52)=0,"No scores entered",IF(U52="","Set status (official/provisional)",IF(COUNTIFS($A$2:$A$101,A52,$B$2:$B$101,B52,$D$2:$D$101,D52)&gt;1,"Duplicate entry","OK to upload"))))))))</f>
        <v/>
      </c>
    </row>
    <row r="53" customFormat="false" ht="15" hidden="false" customHeight="true" outlineLevel="0" collapsed="false">
      <c r="A53" s="41"/>
      <c r="B53" s="40"/>
      <c r="C53" s="40"/>
      <c r="D53" s="40"/>
      <c r="E53" s="44" t="str">
        <f aca="false">IFERROR(IF(D53="","",VLOOKUP(D53,Members!$A$2:$C$16,2,FALSE())),"")</f>
        <v/>
      </c>
      <c r="F53" s="44" t="str">
        <f aca="false">IFERROR(IF(D53="","",VLOOKUP(D53,Members!$A$2:$C$16,3,FALSE())),"")</f>
        <v/>
      </c>
      <c r="G53" s="45"/>
      <c r="H53" s="45"/>
      <c r="I53" s="45"/>
      <c r="J53" s="45"/>
      <c r="K53" s="45"/>
      <c r="L53" s="45"/>
      <c r="M53" s="46"/>
      <c r="N53" s="46"/>
      <c r="O53" s="46"/>
      <c r="P53" s="46"/>
      <c r="Q53" s="46"/>
      <c r="R53" s="46"/>
      <c r="S53" s="47" t="str">
        <f aca="false">IF(COUNT(G53:L53)=0,"",SUM(G53:L53))</f>
        <v/>
      </c>
      <c r="T53" s="48" t="str">
        <f aca="false">IF(COUNT(M53:R53)=0,"",SUM(M53:R53))</f>
        <v/>
      </c>
      <c r="U53" s="40"/>
      <c r="V53" s="42"/>
      <c r="Y53" s="49" t="str">
        <f aca="false">IF(AND(A53="",B53="",D53="",COUNT(G53:L53)=0),"",IF(D53="","Missing shooter",IF(A53="","Missing date",IF(B53="","Missing event",IF(E53="","Club not in roster (type manually)",IF(COUNT(G53:L53)=0,"No scores entered",IF(U53="","Set status (official/provisional)",IF(COUNTIFS($A$2:$A$101,A53,$B$2:$B$101,B53,$D$2:$D$101,D53)&gt;1,"Duplicate entry","OK to upload"))))))))</f>
        <v/>
      </c>
    </row>
    <row r="54" customFormat="false" ht="15" hidden="false" customHeight="true" outlineLevel="0" collapsed="false">
      <c r="A54" s="41"/>
      <c r="B54" s="40"/>
      <c r="C54" s="40"/>
      <c r="D54" s="40"/>
      <c r="E54" s="44" t="str">
        <f aca="false">IFERROR(IF(D54="","",VLOOKUP(D54,Members!$A$2:$C$16,2,FALSE())),"")</f>
        <v/>
      </c>
      <c r="F54" s="44" t="str">
        <f aca="false">IFERROR(IF(D54="","",VLOOKUP(D54,Members!$A$2:$C$16,3,FALSE())),"")</f>
        <v/>
      </c>
      <c r="G54" s="45"/>
      <c r="H54" s="45"/>
      <c r="I54" s="45"/>
      <c r="J54" s="45"/>
      <c r="K54" s="45"/>
      <c r="L54" s="45"/>
      <c r="M54" s="46"/>
      <c r="N54" s="46"/>
      <c r="O54" s="46"/>
      <c r="P54" s="46"/>
      <c r="Q54" s="46"/>
      <c r="R54" s="46"/>
      <c r="S54" s="47" t="str">
        <f aca="false">IF(COUNT(G54:L54)=0,"",SUM(G54:L54))</f>
        <v/>
      </c>
      <c r="T54" s="48" t="str">
        <f aca="false">IF(COUNT(M54:R54)=0,"",SUM(M54:R54))</f>
        <v/>
      </c>
      <c r="U54" s="40"/>
      <c r="V54" s="42"/>
      <c r="Y54" s="49" t="str">
        <f aca="false">IF(AND(A54="",B54="",D54="",COUNT(G54:L54)=0),"",IF(D54="","Missing shooter",IF(A54="","Missing date",IF(B54="","Missing event",IF(E54="","Club not in roster (type manually)",IF(COUNT(G54:L54)=0,"No scores entered",IF(U54="","Set status (official/provisional)",IF(COUNTIFS($A$2:$A$101,A54,$B$2:$B$101,B54,$D$2:$D$101,D54)&gt;1,"Duplicate entry","OK to upload"))))))))</f>
        <v/>
      </c>
    </row>
    <row r="55" customFormat="false" ht="15" hidden="false" customHeight="true" outlineLevel="0" collapsed="false">
      <c r="A55" s="41"/>
      <c r="B55" s="40"/>
      <c r="C55" s="40"/>
      <c r="D55" s="40"/>
      <c r="E55" s="44" t="str">
        <f aca="false">IFERROR(IF(D55="","",VLOOKUP(D55,Members!$A$2:$C$16,2,FALSE())),"")</f>
        <v/>
      </c>
      <c r="F55" s="44" t="str">
        <f aca="false">IFERROR(IF(D55="","",VLOOKUP(D55,Members!$A$2:$C$16,3,FALSE())),"")</f>
        <v/>
      </c>
      <c r="G55" s="45"/>
      <c r="H55" s="45"/>
      <c r="I55" s="45"/>
      <c r="J55" s="45"/>
      <c r="K55" s="45"/>
      <c r="L55" s="45"/>
      <c r="M55" s="46"/>
      <c r="N55" s="46"/>
      <c r="O55" s="46"/>
      <c r="P55" s="46"/>
      <c r="Q55" s="46"/>
      <c r="R55" s="46"/>
      <c r="S55" s="47" t="str">
        <f aca="false">IF(COUNT(G55:L55)=0,"",SUM(G55:L55))</f>
        <v/>
      </c>
      <c r="T55" s="48" t="str">
        <f aca="false">IF(COUNT(M55:R55)=0,"",SUM(M55:R55))</f>
        <v/>
      </c>
      <c r="U55" s="40"/>
      <c r="V55" s="42"/>
      <c r="Y55" s="49" t="str">
        <f aca="false">IF(AND(A55="",B55="",D55="",COUNT(G55:L55)=0),"",IF(D55="","Missing shooter",IF(A55="","Missing date",IF(B55="","Missing event",IF(E55="","Club not in roster (type manually)",IF(COUNT(G55:L55)=0,"No scores entered",IF(U55="","Set status (official/provisional)",IF(COUNTIFS($A$2:$A$101,A55,$B$2:$B$101,B55,$D$2:$D$101,D55)&gt;1,"Duplicate entry","OK to upload"))))))))</f>
        <v/>
      </c>
    </row>
    <row r="56" customFormat="false" ht="15" hidden="false" customHeight="true" outlineLevel="0" collapsed="false">
      <c r="A56" s="41"/>
      <c r="B56" s="40"/>
      <c r="C56" s="40"/>
      <c r="D56" s="40"/>
      <c r="E56" s="44" t="str">
        <f aca="false">IFERROR(IF(D56="","",VLOOKUP(D56,Members!$A$2:$C$16,2,FALSE())),"")</f>
        <v/>
      </c>
      <c r="F56" s="44" t="str">
        <f aca="false">IFERROR(IF(D56="","",VLOOKUP(D56,Members!$A$2:$C$16,3,FALSE())),"")</f>
        <v/>
      </c>
      <c r="G56" s="45"/>
      <c r="H56" s="45"/>
      <c r="I56" s="45"/>
      <c r="J56" s="45"/>
      <c r="K56" s="45"/>
      <c r="L56" s="45"/>
      <c r="M56" s="46"/>
      <c r="N56" s="46"/>
      <c r="O56" s="46"/>
      <c r="P56" s="46"/>
      <c r="Q56" s="46"/>
      <c r="R56" s="46"/>
      <c r="S56" s="47" t="str">
        <f aca="false">IF(COUNT(G56:L56)=0,"",SUM(G56:L56))</f>
        <v/>
      </c>
      <c r="T56" s="48" t="str">
        <f aca="false">IF(COUNT(M56:R56)=0,"",SUM(M56:R56))</f>
        <v/>
      </c>
      <c r="U56" s="40"/>
      <c r="V56" s="42"/>
      <c r="Y56" s="49" t="str">
        <f aca="false">IF(AND(A56="",B56="",D56="",COUNT(G56:L56)=0),"",IF(D56="","Missing shooter",IF(A56="","Missing date",IF(B56="","Missing event",IF(E56="","Club not in roster (type manually)",IF(COUNT(G56:L56)=0,"No scores entered",IF(U56="","Set status (official/provisional)",IF(COUNTIFS($A$2:$A$101,A56,$B$2:$B$101,B56,$D$2:$D$101,D56)&gt;1,"Duplicate entry","OK to upload"))))))))</f>
        <v/>
      </c>
    </row>
    <row r="57" customFormat="false" ht="15" hidden="false" customHeight="true" outlineLevel="0" collapsed="false">
      <c r="A57" s="41"/>
      <c r="B57" s="40"/>
      <c r="C57" s="40"/>
      <c r="D57" s="40"/>
      <c r="E57" s="44" t="str">
        <f aca="false">IFERROR(IF(D57="","",VLOOKUP(D57,Members!$A$2:$C$16,2,FALSE())),"")</f>
        <v/>
      </c>
      <c r="F57" s="44" t="str">
        <f aca="false">IFERROR(IF(D57="","",VLOOKUP(D57,Members!$A$2:$C$16,3,FALSE())),"")</f>
        <v/>
      </c>
      <c r="G57" s="45"/>
      <c r="H57" s="45"/>
      <c r="I57" s="45"/>
      <c r="J57" s="45"/>
      <c r="K57" s="45"/>
      <c r="L57" s="45"/>
      <c r="M57" s="46"/>
      <c r="N57" s="46"/>
      <c r="O57" s="46"/>
      <c r="P57" s="46"/>
      <c r="Q57" s="46"/>
      <c r="R57" s="46"/>
      <c r="S57" s="47" t="str">
        <f aca="false">IF(COUNT(G57:L57)=0,"",SUM(G57:L57))</f>
        <v/>
      </c>
      <c r="T57" s="48" t="str">
        <f aca="false">IF(COUNT(M57:R57)=0,"",SUM(M57:R57))</f>
        <v/>
      </c>
      <c r="U57" s="40"/>
      <c r="V57" s="42"/>
      <c r="Y57" s="49" t="str">
        <f aca="false">IF(AND(A57="",B57="",D57="",COUNT(G57:L57)=0),"",IF(D57="","Missing shooter",IF(A57="","Missing date",IF(B57="","Missing event",IF(E57="","Club not in roster (type manually)",IF(COUNT(G57:L57)=0,"No scores entered",IF(U57="","Set status (official/provisional)",IF(COUNTIFS($A$2:$A$101,A57,$B$2:$B$101,B57,$D$2:$D$101,D57)&gt;1,"Duplicate entry","OK to upload"))))))))</f>
        <v/>
      </c>
    </row>
    <row r="58" customFormat="false" ht="15" hidden="false" customHeight="true" outlineLevel="0" collapsed="false">
      <c r="A58" s="41"/>
      <c r="B58" s="40"/>
      <c r="C58" s="40"/>
      <c r="D58" s="40"/>
      <c r="E58" s="44" t="str">
        <f aca="false">IFERROR(IF(D58="","",VLOOKUP(D58,Members!$A$2:$C$16,2,FALSE())),"")</f>
        <v/>
      </c>
      <c r="F58" s="44" t="str">
        <f aca="false">IFERROR(IF(D58="","",VLOOKUP(D58,Members!$A$2:$C$16,3,FALSE())),"")</f>
        <v/>
      </c>
      <c r="G58" s="45"/>
      <c r="H58" s="45"/>
      <c r="I58" s="45"/>
      <c r="J58" s="45"/>
      <c r="K58" s="45"/>
      <c r="L58" s="45"/>
      <c r="M58" s="46"/>
      <c r="N58" s="46"/>
      <c r="O58" s="46"/>
      <c r="P58" s="46"/>
      <c r="Q58" s="46"/>
      <c r="R58" s="46"/>
      <c r="S58" s="47" t="str">
        <f aca="false">IF(COUNT(G58:L58)=0,"",SUM(G58:L58))</f>
        <v/>
      </c>
      <c r="T58" s="48" t="str">
        <f aca="false">IF(COUNT(M58:R58)=0,"",SUM(M58:R58))</f>
        <v/>
      </c>
      <c r="U58" s="40"/>
      <c r="V58" s="42"/>
      <c r="Y58" s="49" t="str">
        <f aca="false">IF(AND(A58="",B58="",D58="",COUNT(G58:L58)=0),"",IF(D58="","Missing shooter",IF(A58="","Missing date",IF(B58="","Missing event",IF(E58="","Club not in roster (type manually)",IF(COUNT(G58:L58)=0,"No scores entered",IF(U58="","Set status (official/provisional)",IF(COUNTIFS($A$2:$A$101,A58,$B$2:$B$101,B58,$D$2:$D$101,D58)&gt;1,"Duplicate entry","OK to upload"))))))))</f>
        <v/>
      </c>
    </row>
    <row r="59" customFormat="false" ht="15" hidden="false" customHeight="true" outlineLevel="0" collapsed="false">
      <c r="A59" s="41"/>
      <c r="B59" s="40"/>
      <c r="C59" s="40"/>
      <c r="D59" s="40"/>
      <c r="E59" s="44" t="str">
        <f aca="false">IFERROR(IF(D59="","",VLOOKUP(D59,Members!$A$2:$C$16,2,FALSE())),"")</f>
        <v/>
      </c>
      <c r="F59" s="44" t="str">
        <f aca="false">IFERROR(IF(D59="","",VLOOKUP(D59,Members!$A$2:$C$16,3,FALSE())),"")</f>
        <v/>
      </c>
      <c r="G59" s="45"/>
      <c r="H59" s="45"/>
      <c r="I59" s="45"/>
      <c r="J59" s="45"/>
      <c r="K59" s="45"/>
      <c r="L59" s="45"/>
      <c r="M59" s="46"/>
      <c r="N59" s="46"/>
      <c r="O59" s="46"/>
      <c r="P59" s="46"/>
      <c r="Q59" s="46"/>
      <c r="R59" s="46"/>
      <c r="S59" s="47" t="str">
        <f aca="false">IF(COUNT(G59:L59)=0,"",SUM(G59:L59))</f>
        <v/>
      </c>
      <c r="T59" s="48" t="str">
        <f aca="false">IF(COUNT(M59:R59)=0,"",SUM(M59:R59))</f>
        <v/>
      </c>
      <c r="U59" s="40"/>
      <c r="V59" s="42"/>
      <c r="Y59" s="49" t="str">
        <f aca="false">IF(AND(A59="",B59="",D59="",COUNT(G59:L59)=0),"",IF(D59="","Missing shooter",IF(A59="","Missing date",IF(B59="","Missing event",IF(E59="","Club not in roster (type manually)",IF(COUNT(G59:L59)=0,"No scores entered",IF(U59="","Set status (official/provisional)",IF(COUNTIFS($A$2:$A$101,A59,$B$2:$B$101,B59,$D$2:$D$101,D59)&gt;1,"Duplicate entry","OK to upload"))))))))</f>
        <v/>
      </c>
    </row>
    <row r="60" customFormat="false" ht="15" hidden="false" customHeight="true" outlineLevel="0" collapsed="false">
      <c r="A60" s="41"/>
      <c r="B60" s="40"/>
      <c r="C60" s="40"/>
      <c r="D60" s="40"/>
      <c r="E60" s="44" t="str">
        <f aca="false">IFERROR(IF(D60="","",VLOOKUP(D60,Members!$A$2:$C$16,2,FALSE())),"")</f>
        <v/>
      </c>
      <c r="F60" s="44" t="str">
        <f aca="false">IFERROR(IF(D60="","",VLOOKUP(D60,Members!$A$2:$C$16,3,FALSE())),"")</f>
        <v/>
      </c>
      <c r="G60" s="45"/>
      <c r="H60" s="45"/>
      <c r="I60" s="45"/>
      <c r="J60" s="45"/>
      <c r="K60" s="45"/>
      <c r="L60" s="45"/>
      <c r="M60" s="46"/>
      <c r="N60" s="46"/>
      <c r="O60" s="46"/>
      <c r="P60" s="46"/>
      <c r="Q60" s="46"/>
      <c r="R60" s="46"/>
      <c r="S60" s="47" t="str">
        <f aca="false">IF(COUNT(G60:L60)=0,"",SUM(G60:L60))</f>
        <v/>
      </c>
      <c r="T60" s="48" t="str">
        <f aca="false">IF(COUNT(M60:R60)=0,"",SUM(M60:R60))</f>
        <v/>
      </c>
      <c r="U60" s="40"/>
      <c r="V60" s="42"/>
      <c r="Y60" s="49" t="str">
        <f aca="false">IF(AND(A60="",B60="",D60="",COUNT(G60:L60)=0),"",IF(D60="","Missing shooter",IF(A60="","Missing date",IF(B60="","Missing event",IF(E60="","Club not in roster (type manually)",IF(COUNT(G60:L60)=0,"No scores entered",IF(U60="","Set status (official/provisional)",IF(COUNTIFS($A$2:$A$101,A60,$B$2:$B$101,B60,$D$2:$D$101,D60)&gt;1,"Duplicate entry","OK to upload"))))))))</f>
        <v/>
      </c>
    </row>
    <row r="61" customFormat="false" ht="15" hidden="false" customHeight="true" outlineLevel="0" collapsed="false">
      <c r="A61" s="41"/>
      <c r="B61" s="40"/>
      <c r="C61" s="40"/>
      <c r="D61" s="40"/>
      <c r="E61" s="44" t="str">
        <f aca="false">IFERROR(IF(D61="","",VLOOKUP(D61,Members!$A$2:$C$16,2,FALSE())),"")</f>
        <v/>
      </c>
      <c r="F61" s="44" t="str">
        <f aca="false">IFERROR(IF(D61="","",VLOOKUP(D61,Members!$A$2:$C$16,3,FALSE())),"")</f>
        <v/>
      </c>
      <c r="G61" s="45"/>
      <c r="H61" s="45"/>
      <c r="I61" s="45"/>
      <c r="J61" s="45"/>
      <c r="K61" s="45"/>
      <c r="L61" s="45"/>
      <c r="M61" s="46"/>
      <c r="N61" s="46"/>
      <c r="O61" s="46"/>
      <c r="P61" s="46"/>
      <c r="Q61" s="46"/>
      <c r="R61" s="46"/>
      <c r="S61" s="47" t="str">
        <f aca="false">IF(COUNT(G61:L61)=0,"",SUM(G61:L61))</f>
        <v/>
      </c>
      <c r="T61" s="48" t="str">
        <f aca="false">IF(COUNT(M61:R61)=0,"",SUM(M61:R61))</f>
        <v/>
      </c>
      <c r="U61" s="40"/>
      <c r="V61" s="42"/>
      <c r="Y61" s="49" t="str">
        <f aca="false">IF(AND(A61="",B61="",D61="",COUNT(G61:L61)=0),"",IF(D61="","Missing shooter",IF(A61="","Missing date",IF(B61="","Missing event",IF(E61="","Club not in roster (type manually)",IF(COUNT(G61:L61)=0,"No scores entered",IF(U61="","Set status (official/provisional)",IF(COUNTIFS($A$2:$A$101,A61,$B$2:$B$101,B61,$D$2:$D$101,D61)&gt;1,"Duplicate entry","OK to upload"))))))))</f>
        <v/>
      </c>
    </row>
    <row r="62" customFormat="false" ht="15" hidden="false" customHeight="true" outlineLevel="0" collapsed="false">
      <c r="A62" s="41"/>
      <c r="B62" s="40"/>
      <c r="C62" s="40"/>
      <c r="D62" s="40"/>
      <c r="E62" s="44" t="str">
        <f aca="false">IFERROR(IF(D62="","",VLOOKUP(D62,Members!$A$2:$C$16,2,FALSE())),"")</f>
        <v/>
      </c>
      <c r="F62" s="44" t="str">
        <f aca="false">IFERROR(IF(D62="","",VLOOKUP(D62,Members!$A$2:$C$16,3,FALSE())),"")</f>
        <v/>
      </c>
      <c r="G62" s="45"/>
      <c r="H62" s="45"/>
      <c r="I62" s="45"/>
      <c r="J62" s="45"/>
      <c r="K62" s="45"/>
      <c r="L62" s="45"/>
      <c r="M62" s="46"/>
      <c r="N62" s="46"/>
      <c r="O62" s="46"/>
      <c r="P62" s="46"/>
      <c r="Q62" s="46"/>
      <c r="R62" s="46"/>
      <c r="S62" s="47" t="str">
        <f aca="false">IF(COUNT(G62:L62)=0,"",SUM(G62:L62))</f>
        <v/>
      </c>
      <c r="T62" s="48" t="str">
        <f aca="false">IF(COUNT(M62:R62)=0,"",SUM(M62:R62))</f>
        <v/>
      </c>
      <c r="U62" s="40"/>
      <c r="V62" s="42"/>
      <c r="Y62" s="49" t="str">
        <f aca="false">IF(AND(A62="",B62="",D62="",COUNT(G62:L62)=0),"",IF(D62="","Missing shooter",IF(A62="","Missing date",IF(B62="","Missing event",IF(E62="","Club not in roster (type manually)",IF(COUNT(G62:L62)=0,"No scores entered",IF(U62="","Set status (official/provisional)",IF(COUNTIFS($A$2:$A$101,A62,$B$2:$B$101,B62,$D$2:$D$101,D62)&gt;1,"Duplicate entry","OK to upload"))))))))</f>
        <v/>
      </c>
    </row>
    <row r="63" customFormat="false" ht="15" hidden="false" customHeight="true" outlineLevel="0" collapsed="false">
      <c r="A63" s="41"/>
      <c r="B63" s="40"/>
      <c r="C63" s="40"/>
      <c r="D63" s="40"/>
      <c r="E63" s="44" t="str">
        <f aca="false">IFERROR(IF(D63="","",VLOOKUP(D63,Members!$A$2:$C$16,2,FALSE())),"")</f>
        <v/>
      </c>
      <c r="F63" s="44" t="str">
        <f aca="false">IFERROR(IF(D63="","",VLOOKUP(D63,Members!$A$2:$C$16,3,FALSE())),"")</f>
        <v/>
      </c>
      <c r="G63" s="45"/>
      <c r="H63" s="45"/>
      <c r="I63" s="45"/>
      <c r="J63" s="45"/>
      <c r="K63" s="45"/>
      <c r="L63" s="45"/>
      <c r="M63" s="46"/>
      <c r="N63" s="46"/>
      <c r="O63" s="46"/>
      <c r="P63" s="46"/>
      <c r="Q63" s="46"/>
      <c r="R63" s="46"/>
      <c r="S63" s="47" t="str">
        <f aca="false">IF(COUNT(G63:L63)=0,"",SUM(G63:L63))</f>
        <v/>
      </c>
      <c r="T63" s="48" t="str">
        <f aca="false">IF(COUNT(M63:R63)=0,"",SUM(M63:R63))</f>
        <v/>
      </c>
      <c r="U63" s="40"/>
      <c r="V63" s="42"/>
      <c r="Y63" s="49" t="str">
        <f aca="false">IF(AND(A63="",B63="",D63="",COUNT(G63:L63)=0),"",IF(D63="","Missing shooter",IF(A63="","Missing date",IF(B63="","Missing event",IF(E63="","Club not in roster (type manually)",IF(COUNT(G63:L63)=0,"No scores entered",IF(U63="","Set status (official/provisional)",IF(COUNTIFS($A$2:$A$101,A63,$B$2:$B$101,B63,$D$2:$D$101,D63)&gt;1,"Duplicate entry","OK to upload"))))))))</f>
        <v/>
      </c>
    </row>
    <row r="64" customFormat="false" ht="15" hidden="false" customHeight="true" outlineLevel="0" collapsed="false">
      <c r="A64" s="41"/>
      <c r="B64" s="40"/>
      <c r="C64" s="40"/>
      <c r="D64" s="40"/>
      <c r="E64" s="44" t="str">
        <f aca="false">IFERROR(IF(D64="","",VLOOKUP(D64,Members!$A$2:$C$16,2,FALSE())),"")</f>
        <v/>
      </c>
      <c r="F64" s="44" t="str">
        <f aca="false">IFERROR(IF(D64="","",VLOOKUP(D64,Members!$A$2:$C$16,3,FALSE())),"")</f>
        <v/>
      </c>
      <c r="G64" s="45"/>
      <c r="H64" s="45"/>
      <c r="I64" s="45"/>
      <c r="J64" s="45"/>
      <c r="K64" s="45"/>
      <c r="L64" s="45"/>
      <c r="M64" s="46"/>
      <c r="N64" s="46"/>
      <c r="O64" s="46"/>
      <c r="P64" s="46"/>
      <c r="Q64" s="46"/>
      <c r="R64" s="46"/>
      <c r="S64" s="47" t="str">
        <f aca="false">IF(COUNT(G64:L64)=0,"",SUM(G64:L64))</f>
        <v/>
      </c>
      <c r="T64" s="48" t="str">
        <f aca="false">IF(COUNT(M64:R64)=0,"",SUM(M64:R64))</f>
        <v/>
      </c>
      <c r="U64" s="40"/>
      <c r="V64" s="42"/>
      <c r="Y64" s="49" t="str">
        <f aca="false">IF(AND(A64="",B64="",D64="",COUNT(G64:L64)=0),"",IF(D64="","Missing shooter",IF(A64="","Missing date",IF(B64="","Missing event",IF(E64="","Club not in roster (type manually)",IF(COUNT(G64:L64)=0,"No scores entered",IF(U64="","Set status (official/provisional)",IF(COUNTIFS($A$2:$A$101,A64,$B$2:$B$101,B64,$D$2:$D$101,D64)&gt;1,"Duplicate entry","OK to upload"))))))))</f>
        <v/>
      </c>
    </row>
    <row r="65" customFormat="false" ht="15" hidden="false" customHeight="true" outlineLevel="0" collapsed="false">
      <c r="A65" s="41"/>
      <c r="B65" s="40"/>
      <c r="C65" s="40"/>
      <c r="D65" s="40"/>
      <c r="E65" s="44" t="str">
        <f aca="false">IFERROR(IF(D65="","",VLOOKUP(D65,Members!$A$2:$C$16,2,FALSE())),"")</f>
        <v/>
      </c>
      <c r="F65" s="44" t="str">
        <f aca="false">IFERROR(IF(D65="","",VLOOKUP(D65,Members!$A$2:$C$16,3,FALSE())),"")</f>
        <v/>
      </c>
      <c r="G65" s="45"/>
      <c r="H65" s="45"/>
      <c r="I65" s="45"/>
      <c r="J65" s="45"/>
      <c r="K65" s="45"/>
      <c r="L65" s="45"/>
      <c r="M65" s="46"/>
      <c r="N65" s="46"/>
      <c r="O65" s="46"/>
      <c r="P65" s="46"/>
      <c r="Q65" s="46"/>
      <c r="R65" s="46"/>
      <c r="S65" s="47" t="str">
        <f aca="false">IF(COUNT(G65:L65)=0,"",SUM(G65:L65))</f>
        <v/>
      </c>
      <c r="T65" s="48" t="str">
        <f aca="false">IF(COUNT(M65:R65)=0,"",SUM(M65:R65))</f>
        <v/>
      </c>
      <c r="U65" s="40"/>
      <c r="V65" s="42"/>
      <c r="Y65" s="49" t="str">
        <f aca="false">IF(AND(A65="",B65="",D65="",COUNT(G65:L65)=0),"",IF(D65="","Missing shooter",IF(A65="","Missing date",IF(B65="","Missing event",IF(E65="","Club not in roster (type manually)",IF(COUNT(G65:L65)=0,"No scores entered",IF(U65="","Set status (official/provisional)",IF(COUNTIFS($A$2:$A$101,A65,$B$2:$B$101,B65,$D$2:$D$101,D65)&gt;1,"Duplicate entry","OK to upload"))))))))</f>
        <v/>
      </c>
    </row>
    <row r="66" customFormat="false" ht="15" hidden="false" customHeight="true" outlineLevel="0" collapsed="false">
      <c r="A66" s="41"/>
      <c r="B66" s="40"/>
      <c r="C66" s="40"/>
      <c r="D66" s="40"/>
      <c r="E66" s="44" t="str">
        <f aca="false">IFERROR(IF(D66="","",VLOOKUP(D66,Members!$A$2:$C$16,2,FALSE())),"")</f>
        <v/>
      </c>
      <c r="F66" s="44" t="str">
        <f aca="false">IFERROR(IF(D66="","",VLOOKUP(D66,Members!$A$2:$C$16,3,FALSE())),"")</f>
        <v/>
      </c>
      <c r="G66" s="45"/>
      <c r="H66" s="45"/>
      <c r="I66" s="45"/>
      <c r="J66" s="45"/>
      <c r="K66" s="45"/>
      <c r="L66" s="45"/>
      <c r="M66" s="46"/>
      <c r="N66" s="46"/>
      <c r="O66" s="46"/>
      <c r="P66" s="46"/>
      <c r="Q66" s="46"/>
      <c r="R66" s="46"/>
      <c r="S66" s="47" t="str">
        <f aca="false">IF(COUNT(G66:L66)=0,"",SUM(G66:L66))</f>
        <v/>
      </c>
      <c r="T66" s="48" t="str">
        <f aca="false">IF(COUNT(M66:R66)=0,"",SUM(M66:R66))</f>
        <v/>
      </c>
      <c r="U66" s="40"/>
      <c r="V66" s="42"/>
      <c r="Y66" s="49" t="str">
        <f aca="false">IF(AND(A66="",B66="",D66="",COUNT(G66:L66)=0),"",IF(D66="","Missing shooter",IF(A66="","Missing date",IF(B66="","Missing event",IF(E66="","Club not in roster (type manually)",IF(COUNT(G66:L66)=0,"No scores entered",IF(U66="","Set status (official/provisional)",IF(COUNTIFS($A$2:$A$101,A66,$B$2:$B$101,B66,$D$2:$D$101,D66)&gt;1,"Duplicate entry","OK to upload"))))))))</f>
        <v/>
      </c>
    </row>
    <row r="67" customFormat="false" ht="15" hidden="false" customHeight="true" outlineLevel="0" collapsed="false">
      <c r="A67" s="41"/>
      <c r="B67" s="40"/>
      <c r="C67" s="40"/>
      <c r="D67" s="40"/>
      <c r="E67" s="44" t="str">
        <f aca="false">IFERROR(IF(D67="","",VLOOKUP(D67,Members!$A$2:$C$16,2,FALSE())),"")</f>
        <v/>
      </c>
      <c r="F67" s="44" t="str">
        <f aca="false">IFERROR(IF(D67="","",VLOOKUP(D67,Members!$A$2:$C$16,3,FALSE())),"")</f>
        <v/>
      </c>
      <c r="G67" s="45"/>
      <c r="H67" s="45"/>
      <c r="I67" s="45"/>
      <c r="J67" s="45"/>
      <c r="K67" s="45"/>
      <c r="L67" s="45"/>
      <c r="M67" s="46"/>
      <c r="N67" s="46"/>
      <c r="O67" s="46"/>
      <c r="P67" s="46"/>
      <c r="Q67" s="46"/>
      <c r="R67" s="46"/>
      <c r="S67" s="47" t="str">
        <f aca="false">IF(COUNT(G67:L67)=0,"",SUM(G67:L67))</f>
        <v/>
      </c>
      <c r="T67" s="48" t="str">
        <f aca="false">IF(COUNT(M67:R67)=0,"",SUM(M67:R67))</f>
        <v/>
      </c>
      <c r="U67" s="40"/>
      <c r="V67" s="42"/>
      <c r="Y67" s="49" t="str">
        <f aca="false">IF(AND(A67="",B67="",D67="",COUNT(G67:L67)=0),"",IF(D67="","Missing shooter",IF(A67="","Missing date",IF(B67="","Missing event",IF(E67="","Club not in roster (type manually)",IF(COUNT(G67:L67)=0,"No scores entered",IF(U67="","Set status (official/provisional)",IF(COUNTIFS($A$2:$A$101,A67,$B$2:$B$101,B67,$D$2:$D$101,D67)&gt;1,"Duplicate entry","OK to upload"))))))))</f>
        <v/>
      </c>
    </row>
    <row r="68" customFormat="false" ht="15" hidden="false" customHeight="true" outlineLevel="0" collapsed="false">
      <c r="A68" s="41"/>
      <c r="B68" s="40"/>
      <c r="C68" s="40"/>
      <c r="D68" s="40"/>
      <c r="E68" s="44" t="str">
        <f aca="false">IFERROR(IF(D68="","",VLOOKUP(D68,Members!$A$2:$C$16,2,FALSE())),"")</f>
        <v/>
      </c>
      <c r="F68" s="44" t="str">
        <f aca="false">IFERROR(IF(D68="","",VLOOKUP(D68,Members!$A$2:$C$16,3,FALSE())),"")</f>
        <v/>
      </c>
      <c r="G68" s="45"/>
      <c r="H68" s="45"/>
      <c r="I68" s="45"/>
      <c r="J68" s="45"/>
      <c r="K68" s="45"/>
      <c r="L68" s="45"/>
      <c r="M68" s="46"/>
      <c r="N68" s="46"/>
      <c r="O68" s="46"/>
      <c r="P68" s="46"/>
      <c r="Q68" s="46"/>
      <c r="R68" s="46"/>
      <c r="S68" s="47" t="str">
        <f aca="false">IF(COUNT(G68:L68)=0,"",SUM(G68:L68))</f>
        <v/>
      </c>
      <c r="T68" s="48" t="str">
        <f aca="false">IF(COUNT(M68:R68)=0,"",SUM(M68:R68))</f>
        <v/>
      </c>
      <c r="U68" s="40"/>
      <c r="V68" s="42"/>
      <c r="Y68" s="49" t="str">
        <f aca="false">IF(AND(A68="",B68="",D68="",COUNT(G68:L68)=0),"",IF(D68="","Missing shooter",IF(A68="","Missing date",IF(B68="","Missing event",IF(E68="","Club not in roster (type manually)",IF(COUNT(G68:L68)=0,"No scores entered",IF(U68="","Set status (official/provisional)",IF(COUNTIFS($A$2:$A$101,A68,$B$2:$B$101,B68,$D$2:$D$101,D68)&gt;1,"Duplicate entry","OK to upload"))))))))</f>
        <v/>
      </c>
    </row>
    <row r="69" customFormat="false" ht="15" hidden="false" customHeight="true" outlineLevel="0" collapsed="false">
      <c r="A69" s="41"/>
      <c r="B69" s="40"/>
      <c r="C69" s="40"/>
      <c r="D69" s="40"/>
      <c r="E69" s="44" t="str">
        <f aca="false">IFERROR(IF(D69="","",VLOOKUP(D69,Members!$A$2:$C$16,2,FALSE())),"")</f>
        <v/>
      </c>
      <c r="F69" s="44" t="str">
        <f aca="false">IFERROR(IF(D69="","",VLOOKUP(D69,Members!$A$2:$C$16,3,FALSE())),"")</f>
        <v/>
      </c>
      <c r="G69" s="45"/>
      <c r="H69" s="45"/>
      <c r="I69" s="45"/>
      <c r="J69" s="45"/>
      <c r="K69" s="45"/>
      <c r="L69" s="45"/>
      <c r="M69" s="46"/>
      <c r="N69" s="46"/>
      <c r="O69" s="46"/>
      <c r="P69" s="46"/>
      <c r="Q69" s="46"/>
      <c r="R69" s="46"/>
      <c r="S69" s="47" t="str">
        <f aca="false">IF(COUNT(G69:L69)=0,"",SUM(G69:L69))</f>
        <v/>
      </c>
      <c r="T69" s="48" t="str">
        <f aca="false">IF(COUNT(M69:R69)=0,"",SUM(M69:R69))</f>
        <v/>
      </c>
      <c r="U69" s="40"/>
      <c r="V69" s="42"/>
      <c r="Y69" s="49" t="str">
        <f aca="false">IF(AND(A69="",B69="",D69="",COUNT(G69:L69)=0),"",IF(D69="","Missing shooter",IF(A69="","Missing date",IF(B69="","Missing event",IF(E69="","Club not in roster (type manually)",IF(COUNT(G69:L69)=0,"No scores entered",IF(U69="","Set status (official/provisional)",IF(COUNTIFS($A$2:$A$101,A69,$B$2:$B$101,B69,$D$2:$D$101,D69)&gt;1,"Duplicate entry","OK to upload"))))))))</f>
        <v/>
      </c>
    </row>
    <row r="70" customFormat="false" ht="15" hidden="false" customHeight="true" outlineLevel="0" collapsed="false">
      <c r="A70" s="41"/>
      <c r="B70" s="40"/>
      <c r="C70" s="40"/>
      <c r="D70" s="40"/>
      <c r="E70" s="44" t="str">
        <f aca="false">IFERROR(IF(D70="","",VLOOKUP(D70,Members!$A$2:$C$16,2,FALSE())),"")</f>
        <v/>
      </c>
      <c r="F70" s="44" t="str">
        <f aca="false">IFERROR(IF(D70="","",VLOOKUP(D70,Members!$A$2:$C$16,3,FALSE())),"")</f>
        <v/>
      </c>
      <c r="G70" s="45"/>
      <c r="H70" s="45"/>
      <c r="I70" s="45"/>
      <c r="J70" s="45"/>
      <c r="K70" s="45"/>
      <c r="L70" s="45"/>
      <c r="M70" s="46"/>
      <c r="N70" s="46"/>
      <c r="O70" s="46"/>
      <c r="P70" s="46"/>
      <c r="Q70" s="46"/>
      <c r="R70" s="46"/>
      <c r="S70" s="47" t="str">
        <f aca="false">IF(COUNT(G70:L70)=0,"",SUM(G70:L70))</f>
        <v/>
      </c>
      <c r="T70" s="48" t="str">
        <f aca="false">IF(COUNT(M70:R70)=0,"",SUM(M70:R70))</f>
        <v/>
      </c>
      <c r="U70" s="40"/>
      <c r="V70" s="42"/>
      <c r="Y70" s="49" t="str">
        <f aca="false">IF(AND(A70="",B70="",D70="",COUNT(G70:L70)=0),"",IF(D70="","Missing shooter",IF(A70="","Missing date",IF(B70="","Missing event",IF(E70="","Club not in roster (type manually)",IF(COUNT(G70:L70)=0,"No scores entered",IF(U70="","Set status (official/provisional)",IF(COUNTIFS($A$2:$A$101,A70,$B$2:$B$101,B70,$D$2:$D$101,D70)&gt;1,"Duplicate entry","OK to upload"))))))))</f>
        <v/>
      </c>
    </row>
    <row r="71" customFormat="false" ht="15" hidden="false" customHeight="true" outlineLevel="0" collapsed="false">
      <c r="A71" s="41"/>
      <c r="B71" s="40"/>
      <c r="C71" s="40"/>
      <c r="D71" s="40"/>
      <c r="E71" s="44" t="str">
        <f aca="false">IFERROR(IF(D71="","",VLOOKUP(D71,Members!$A$2:$C$16,2,FALSE())),"")</f>
        <v/>
      </c>
      <c r="F71" s="44" t="str">
        <f aca="false">IFERROR(IF(D71="","",VLOOKUP(D71,Members!$A$2:$C$16,3,FALSE())),"")</f>
        <v/>
      </c>
      <c r="G71" s="45"/>
      <c r="H71" s="45"/>
      <c r="I71" s="45"/>
      <c r="J71" s="45"/>
      <c r="K71" s="45"/>
      <c r="L71" s="45"/>
      <c r="M71" s="46"/>
      <c r="N71" s="46"/>
      <c r="O71" s="46"/>
      <c r="P71" s="46"/>
      <c r="Q71" s="46"/>
      <c r="R71" s="46"/>
      <c r="S71" s="47" t="str">
        <f aca="false">IF(COUNT(G71:L71)=0,"",SUM(G71:L71))</f>
        <v/>
      </c>
      <c r="T71" s="48" t="str">
        <f aca="false">IF(COUNT(M71:R71)=0,"",SUM(M71:R71))</f>
        <v/>
      </c>
      <c r="U71" s="40"/>
      <c r="V71" s="42"/>
      <c r="Y71" s="49" t="str">
        <f aca="false">IF(AND(A71="",B71="",D71="",COUNT(G71:L71)=0),"",IF(D71="","Missing shooter",IF(A71="","Missing date",IF(B71="","Missing event",IF(E71="","Club not in roster (type manually)",IF(COUNT(G71:L71)=0,"No scores entered",IF(U71="","Set status (official/provisional)",IF(COUNTIFS($A$2:$A$101,A71,$B$2:$B$101,B71,$D$2:$D$101,D71)&gt;1,"Duplicate entry","OK to upload"))))))))</f>
        <v/>
      </c>
    </row>
    <row r="72" customFormat="false" ht="15" hidden="false" customHeight="true" outlineLevel="0" collapsed="false">
      <c r="A72" s="41"/>
      <c r="B72" s="40"/>
      <c r="C72" s="40"/>
      <c r="D72" s="40"/>
      <c r="E72" s="44" t="str">
        <f aca="false">IFERROR(IF(D72="","",VLOOKUP(D72,Members!$A$2:$C$16,2,FALSE())),"")</f>
        <v/>
      </c>
      <c r="F72" s="44" t="str">
        <f aca="false">IFERROR(IF(D72="","",VLOOKUP(D72,Members!$A$2:$C$16,3,FALSE())),"")</f>
        <v/>
      </c>
      <c r="G72" s="45"/>
      <c r="H72" s="45"/>
      <c r="I72" s="45"/>
      <c r="J72" s="45"/>
      <c r="K72" s="45"/>
      <c r="L72" s="45"/>
      <c r="M72" s="46"/>
      <c r="N72" s="46"/>
      <c r="O72" s="46"/>
      <c r="P72" s="46"/>
      <c r="Q72" s="46"/>
      <c r="R72" s="46"/>
      <c r="S72" s="47" t="str">
        <f aca="false">IF(COUNT(G72:L72)=0,"",SUM(G72:L72))</f>
        <v/>
      </c>
      <c r="T72" s="48" t="str">
        <f aca="false">IF(COUNT(M72:R72)=0,"",SUM(M72:R72))</f>
        <v/>
      </c>
      <c r="U72" s="40"/>
      <c r="V72" s="42"/>
      <c r="Y72" s="49" t="str">
        <f aca="false">IF(AND(A72="",B72="",D72="",COUNT(G72:L72)=0),"",IF(D72="","Missing shooter",IF(A72="","Missing date",IF(B72="","Missing event",IF(E72="","Club not in roster (type manually)",IF(COUNT(G72:L72)=0,"No scores entered",IF(U72="","Set status (official/provisional)",IF(COUNTIFS($A$2:$A$101,A72,$B$2:$B$101,B72,$D$2:$D$101,D72)&gt;1,"Duplicate entry","OK to upload"))))))))</f>
        <v/>
      </c>
    </row>
    <row r="73" customFormat="false" ht="15" hidden="false" customHeight="true" outlineLevel="0" collapsed="false">
      <c r="A73" s="41"/>
      <c r="B73" s="40"/>
      <c r="C73" s="40"/>
      <c r="D73" s="40"/>
      <c r="E73" s="44" t="str">
        <f aca="false">IFERROR(IF(D73="","",VLOOKUP(D73,Members!$A$2:$C$16,2,FALSE())),"")</f>
        <v/>
      </c>
      <c r="F73" s="44" t="str">
        <f aca="false">IFERROR(IF(D73="","",VLOOKUP(D73,Members!$A$2:$C$16,3,FALSE())),"")</f>
        <v/>
      </c>
      <c r="G73" s="45"/>
      <c r="H73" s="45"/>
      <c r="I73" s="45"/>
      <c r="J73" s="45"/>
      <c r="K73" s="45"/>
      <c r="L73" s="45"/>
      <c r="M73" s="46"/>
      <c r="N73" s="46"/>
      <c r="O73" s="46"/>
      <c r="P73" s="46"/>
      <c r="Q73" s="46"/>
      <c r="R73" s="46"/>
      <c r="S73" s="47" t="str">
        <f aca="false">IF(COUNT(G73:L73)=0,"",SUM(G73:L73))</f>
        <v/>
      </c>
      <c r="T73" s="48" t="str">
        <f aca="false">IF(COUNT(M73:R73)=0,"",SUM(M73:R73))</f>
        <v/>
      </c>
      <c r="U73" s="40"/>
      <c r="V73" s="42"/>
      <c r="Y73" s="49" t="str">
        <f aca="false">IF(AND(A73="",B73="",D73="",COUNT(G73:L73)=0),"",IF(D73="","Missing shooter",IF(A73="","Missing date",IF(B73="","Missing event",IF(E73="","Club not in roster (type manually)",IF(COUNT(G73:L73)=0,"No scores entered",IF(U73="","Set status (official/provisional)",IF(COUNTIFS($A$2:$A$101,A73,$B$2:$B$101,B73,$D$2:$D$101,D73)&gt;1,"Duplicate entry","OK to upload"))))))))</f>
        <v/>
      </c>
    </row>
    <row r="74" customFormat="false" ht="15" hidden="false" customHeight="true" outlineLevel="0" collapsed="false">
      <c r="A74" s="41"/>
      <c r="B74" s="40"/>
      <c r="C74" s="40"/>
      <c r="D74" s="40"/>
      <c r="E74" s="44" t="str">
        <f aca="false">IFERROR(IF(D74="","",VLOOKUP(D74,Members!$A$2:$C$16,2,FALSE())),"")</f>
        <v/>
      </c>
      <c r="F74" s="44" t="str">
        <f aca="false">IFERROR(IF(D74="","",VLOOKUP(D74,Members!$A$2:$C$16,3,FALSE())),"")</f>
        <v/>
      </c>
      <c r="G74" s="45"/>
      <c r="H74" s="45"/>
      <c r="I74" s="45"/>
      <c r="J74" s="45"/>
      <c r="K74" s="45"/>
      <c r="L74" s="45"/>
      <c r="M74" s="46"/>
      <c r="N74" s="46"/>
      <c r="O74" s="46"/>
      <c r="P74" s="46"/>
      <c r="Q74" s="46"/>
      <c r="R74" s="46"/>
      <c r="S74" s="47" t="str">
        <f aca="false">IF(COUNT(G74:L74)=0,"",SUM(G74:L74))</f>
        <v/>
      </c>
      <c r="T74" s="48" t="str">
        <f aca="false">IF(COUNT(M74:R74)=0,"",SUM(M74:R74))</f>
        <v/>
      </c>
      <c r="U74" s="40"/>
      <c r="V74" s="42"/>
      <c r="Y74" s="49" t="str">
        <f aca="false">IF(AND(A74="",B74="",D74="",COUNT(G74:L74)=0),"",IF(D74="","Missing shooter",IF(A74="","Missing date",IF(B74="","Missing event",IF(E74="","Club not in roster (type manually)",IF(COUNT(G74:L74)=0,"No scores entered",IF(U74="","Set status (official/provisional)",IF(COUNTIFS($A$2:$A$101,A74,$B$2:$B$101,B74,$D$2:$D$101,D74)&gt;1,"Duplicate entry","OK to upload"))))))))</f>
        <v/>
      </c>
    </row>
    <row r="75" customFormat="false" ht="15" hidden="false" customHeight="true" outlineLevel="0" collapsed="false">
      <c r="A75" s="41"/>
      <c r="B75" s="40"/>
      <c r="C75" s="40"/>
      <c r="D75" s="40"/>
      <c r="E75" s="44" t="str">
        <f aca="false">IFERROR(IF(D75="","",VLOOKUP(D75,Members!$A$2:$C$16,2,FALSE())),"")</f>
        <v/>
      </c>
      <c r="F75" s="44" t="str">
        <f aca="false">IFERROR(IF(D75="","",VLOOKUP(D75,Members!$A$2:$C$16,3,FALSE())),"")</f>
        <v/>
      </c>
      <c r="G75" s="45"/>
      <c r="H75" s="45"/>
      <c r="I75" s="45"/>
      <c r="J75" s="45"/>
      <c r="K75" s="45"/>
      <c r="L75" s="45"/>
      <c r="M75" s="46"/>
      <c r="N75" s="46"/>
      <c r="O75" s="46"/>
      <c r="P75" s="46"/>
      <c r="Q75" s="46"/>
      <c r="R75" s="46"/>
      <c r="S75" s="47" t="str">
        <f aca="false">IF(COUNT(G75:L75)=0,"",SUM(G75:L75))</f>
        <v/>
      </c>
      <c r="T75" s="48" t="str">
        <f aca="false">IF(COUNT(M75:R75)=0,"",SUM(M75:R75))</f>
        <v/>
      </c>
      <c r="U75" s="40"/>
      <c r="V75" s="42"/>
      <c r="Y75" s="49" t="str">
        <f aca="false">IF(AND(A75="",B75="",D75="",COUNT(G75:L75)=0),"",IF(D75="","Missing shooter",IF(A75="","Missing date",IF(B75="","Missing event",IF(E75="","Club not in roster (type manually)",IF(COUNT(G75:L75)=0,"No scores entered",IF(U75="","Set status (official/provisional)",IF(COUNTIFS($A$2:$A$101,A75,$B$2:$B$101,B75,$D$2:$D$101,D75)&gt;1,"Duplicate entry","OK to upload"))))))))</f>
        <v/>
      </c>
    </row>
    <row r="76" customFormat="false" ht="15" hidden="false" customHeight="true" outlineLevel="0" collapsed="false">
      <c r="A76" s="41"/>
      <c r="B76" s="40"/>
      <c r="C76" s="40"/>
      <c r="D76" s="40"/>
      <c r="E76" s="44" t="str">
        <f aca="false">IFERROR(IF(D76="","",VLOOKUP(D76,Members!$A$2:$C$16,2,FALSE())),"")</f>
        <v/>
      </c>
      <c r="F76" s="44" t="str">
        <f aca="false">IFERROR(IF(D76="","",VLOOKUP(D76,Members!$A$2:$C$16,3,FALSE())),"")</f>
        <v/>
      </c>
      <c r="G76" s="45"/>
      <c r="H76" s="45"/>
      <c r="I76" s="45"/>
      <c r="J76" s="45"/>
      <c r="K76" s="45"/>
      <c r="L76" s="45"/>
      <c r="M76" s="46"/>
      <c r="N76" s="46"/>
      <c r="O76" s="46"/>
      <c r="P76" s="46"/>
      <c r="Q76" s="46"/>
      <c r="R76" s="46"/>
      <c r="S76" s="47" t="str">
        <f aca="false">IF(COUNT(G76:L76)=0,"",SUM(G76:L76))</f>
        <v/>
      </c>
      <c r="T76" s="48" t="str">
        <f aca="false">IF(COUNT(M76:R76)=0,"",SUM(M76:R76))</f>
        <v/>
      </c>
      <c r="U76" s="40"/>
      <c r="V76" s="42"/>
      <c r="Y76" s="49" t="str">
        <f aca="false">IF(AND(A76="",B76="",D76="",COUNT(G76:L76)=0),"",IF(D76="","Missing shooter",IF(A76="","Missing date",IF(B76="","Missing event",IF(E76="","Club not in roster (type manually)",IF(COUNT(G76:L76)=0,"No scores entered",IF(U76="","Set status (official/provisional)",IF(COUNTIFS($A$2:$A$101,A76,$B$2:$B$101,B76,$D$2:$D$101,D76)&gt;1,"Duplicate entry","OK to upload"))))))))</f>
        <v/>
      </c>
    </row>
    <row r="77" customFormat="false" ht="15" hidden="false" customHeight="true" outlineLevel="0" collapsed="false">
      <c r="A77" s="41"/>
      <c r="B77" s="40"/>
      <c r="C77" s="40"/>
      <c r="D77" s="40"/>
      <c r="E77" s="44" t="str">
        <f aca="false">IFERROR(IF(D77="","",VLOOKUP(D77,Members!$A$2:$C$16,2,FALSE())),"")</f>
        <v/>
      </c>
      <c r="F77" s="44" t="str">
        <f aca="false">IFERROR(IF(D77="","",VLOOKUP(D77,Members!$A$2:$C$16,3,FALSE())),"")</f>
        <v/>
      </c>
      <c r="G77" s="45"/>
      <c r="H77" s="45"/>
      <c r="I77" s="45"/>
      <c r="J77" s="45"/>
      <c r="K77" s="45"/>
      <c r="L77" s="45"/>
      <c r="M77" s="46"/>
      <c r="N77" s="46"/>
      <c r="O77" s="46"/>
      <c r="P77" s="46"/>
      <c r="Q77" s="46"/>
      <c r="R77" s="46"/>
      <c r="S77" s="47" t="str">
        <f aca="false">IF(COUNT(G77:L77)=0,"",SUM(G77:L77))</f>
        <v/>
      </c>
      <c r="T77" s="48" t="str">
        <f aca="false">IF(COUNT(M77:R77)=0,"",SUM(M77:R77))</f>
        <v/>
      </c>
      <c r="U77" s="40"/>
      <c r="V77" s="42"/>
      <c r="Y77" s="49" t="str">
        <f aca="false">IF(AND(A77="",B77="",D77="",COUNT(G77:L77)=0),"",IF(D77="","Missing shooter",IF(A77="","Missing date",IF(B77="","Missing event",IF(E77="","Club not in roster (type manually)",IF(COUNT(G77:L77)=0,"No scores entered",IF(U77="","Set status (official/provisional)",IF(COUNTIFS($A$2:$A$101,A77,$B$2:$B$101,B77,$D$2:$D$101,D77)&gt;1,"Duplicate entry","OK to upload"))))))))</f>
        <v/>
      </c>
    </row>
    <row r="78" customFormat="false" ht="15" hidden="false" customHeight="true" outlineLevel="0" collapsed="false">
      <c r="A78" s="41"/>
      <c r="B78" s="40"/>
      <c r="C78" s="40"/>
      <c r="D78" s="40"/>
      <c r="E78" s="44" t="str">
        <f aca="false">IFERROR(IF(D78="","",VLOOKUP(D78,Members!$A$2:$C$16,2,FALSE())),"")</f>
        <v/>
      </c>
      <c r="F78" s="44" t="str">
        <f aca="false">IFERROR(IF(D78="","",VLOOKUP(D78,Members!$A$2:$C$16,3,FALSE())),"")</f>
        <v/>
      </c>
      <c r="G78" s="45"/>
      <c r="H78" s="45"/>
      <c r="I78" s="45"/>
      <c r="J78" s="45"/>
      <c r="K78" s="45"/>
      <c r="L78" s="45"/>
      <c r="M78" s="46"/>
      <c r="N78" s="46"/>
      <c r="O78" s="46"/>
      <c r="P78" s="46"/>
      <c r="Q78" s="46"/>
      <c r="R78" s="46"/>
      <c r="S78" s="47" t="str">
        <f aca="false">IF(COUNT(G78:L78)=0,"",SUM(G78:L78))</f>
        <v/>
      </c>
      <c r="T78" s="48" t="str">
        <f aca="false">IF(COUNT(M78:R78)=0,"",SUM(M78:R78))</f>
        <v/>
      </c>
      <c r="U78" s="40"/>
      <c r="V78" s="42"/>
      <c r="Y78" s="49" t="str">
        <f aca="false">IF(AND(A78="",B78="",D78="",COUNT(G78:L78)=0),"",IF(D78="","Missing shooter",IF(A78="","Missing date",IF(B78="","Missing event",IF(E78="","Club not in roster (type manually)",IF(COUNT(G78:L78)=0,"No scores entered",IF(U78="","Set status (official/provisional)",IF(COUNTIFS($A$2:$A$101,A78,$B$2:$B$101,B78,$D$2:$D$101,D78)&gt;1,"Duplicate entry","OK to upload"))))))))</f>
        <v/>
      </c>
    </row>
    <row r="79" customFormat="false" ht="15" hidden="false" customHeight="true" outlineLevel="0" collapsed="false">
      <c r="A79" s="41"/>
      <c r="B79" s="40"/>
      <c r="C79" s="40"/>
      <c r="D79" s="40"/>
      <c r="E79" s="44" t="str">
        <f aca="false">IFERROR(IF(D79="","",VLOOKUP(D79,Members!$A$2:$C$16,2,FALSE())),"")</f>
        <v/>
      </c>
      <c r="F79" s="44" t="str">
        <f aca="false">IFERROR(IF(D79="","",VLOOKUP(D79,Members!$A$2:$C$16,3,FALSE())),"")</f>
        <v/>
      </c>
      <c r="G79" s="45"/>
      <c r="H79" s="45"/>
      <c r="I79" s="45"/>
      <c r="J79" s="45"/>
      <c r="K79" s="45"/>
      <c r="L79" s="45"/>
      <c r="M79" s="46"/>
      <c r="N79" s="46"/>
      <c r="O79" s="46"/>
      <c r="P79" s="46"/>
      <c r="Q79" s="46"/>
      <c r="R79" s="46"/>
      <c r="S79" s="47" t="str">
        <f aca="false">IF(COUNT(G79:L79)=0,"",SUM(G79:L79))</f>
        <v/>
      </c>
      <c r="T79" s="48" t="str">
        <f aca="false">IF(COUNT(M79:R79)=0,"",SUM(M79:R79))</f>
        <v/>
      </c>
      <c r="U79" s="40"/>
      <c r="V79" s="42"/>
      <c r="Y79" s="49" t="str">
        <f aca="false">IF(AND(A79="",B79="",D79="",COUNT(G79:L79)=0),"",IF(D79="","Missing shooter",IF(A79="","Missing date",IF(B79="","Missing event",IF(E79="","Club not in roster (type manually)",IF(COUNT(G79:L79)=0,"No scores entered",IF(U79="","Set status (official/provisional)",IF(COUNTIFS($A$2:$A$101,A79,$B$2:$B$101,B79,$D$2:$D$101,D79)&gt;1,"Duplicate entry","OK to upload"))))))))</f>
        <v/>
      </c>
    </row>
    <row r="80" customFormat="false" ht="15" hidden="false" customHeight="true" outlineLevel="0" collapsed="false">
      <c r="A80" s="41"/>
      <c r="B80" s="40"/>
      <c r="C80" s="40"/>
      <c r="D80" s="40"/>
      <c r="E80" s="44" t="str">
        <f aca="false">IFERROR(IF(D80="","",VLOOKUP(D80,Members!$A$2:$C$16,2,FALSE())),"")</f>
        <v/>
      </c>
      <c r="F80" s="44" t="str">
        <f aca="false">IFERROR(IF(D80="","",VLOOKUP(D80,Members!$A$2:$C$16,3,FALSE())),"")</f>
        <v/>
      </c>
      <c r="G80" s="45"/>
      <c r="H80" s="45"/>
      <c r="I80" s="45"/>
      <c r="J80" s="45"/>
      <c r="K80" s="45"/>
      <c r="L80" s="45"/>
      <c r="M80" s="46"/>
      <c r="N80" s="46"/>
      <c r="O80" s="46"/>
      <c r="P80" s="46"/>
      <c r="Q80" s="46"/>
      <c r="R80" s="46"/>
      <c r="S80" s="47" t="str">
        <f aca="false">IF(COUNT(G80:L80)=0,"",SUM(G80:L80))</f>
        <v/>
      </c>
      <c r="T80" s="48" t="str">
        <f aca="false">IF(COUNT(M80:R80)=0,"",SUM(M80:R80))</f>
        <v/>
      </c>
      <c r="U80" s="40"/>
      <c r="V80" s="42"/>
      <c r="Y80" s="49" t="str">
        <f aca="false">IF(AND(A80="",B80="",D80="",COUNT(G80:L80)=0),"",IF(D80="","Missing shooter",IF(A80="","Missing date",IF(B80="","Missing event",IF(E80="","Club not in roster (type manually)",IF(COUNT(G80:L80)=0,"No scores entered",IF(U80="","Set status (official/provisional)",IF(COUNTIFS($A$2:$A$101,A80,$B$2:$B$101,B80,$D$2:$D$101,D80)&gt;1,"Duplicate entry","OK to upload"))))))))</f>
        <v/>
      </c>
    </row>
    <row r="81" customFormat="false" ht="15" hidden="false" customHeight="true" outlineLevel="0" collapsed="false">
      <c r="A81" s="41"/>
      <c r="B81" s="40"/>
      <c r="C81" s="40"/>
      <c r="D81" s="40"/>
      <c r="E81" s="44" t="str">
        <f aca="false">IFERROR(IF(D81="","",VLOOKUP(D81,Members!$A$2:$C$16,2,FALSE())),"")</f>
        <v/>
      </c>
      <c r="F81" s="44" t="str">
        <f aca="false">IFERROR(IF(D81="","",VLOOKUP(D81,Members!$A$2:$C$16,3,FALSE())),"")</f>
        <v/>
      </c>
      <c r="G81" s="45"/>
      <c r="H81" s="45"/>
      <c r="I81" s="45"/>
      <c r="J81" s="45"/>
      <c r="K81" s="45"/>
      <c r="L81" s="45"/>
      <c r="M81" s="46"/>
      <c r="N81" s="46"/>
      <c r="O81" s="46"/>
      <c r="P81" s="46"/>
      <c r="Q81" s="46"/>
      <c r="R81" s="46"/>
      <c r="S81" s="47" t="str">
        <f aca="false">IF(COUNT(G81:L81)=0,"",SUM(G81:L81))</f>
        <v/>
      </c>
      <c r="T81" s="48" t="str">
        <f aca="false">IF(COUNT(M81:R81)=0,"",SUM(M81:R81))</f>
        <v/>
      </c>
      <c r="U81" s="40"/>
      <c r="V81" s="42"/>
      <c r="Y81" s="49" t="str">
        <f aca="false">IF(AND(A81="",B81="",D81="",COUNT(G81:L81)=0),"",IF(D81="","Missing shooter",IF(A81="","Missing date",IF(B81="","Missing event",IF(E81="","Club not in roster (type manually)",IF(COUNT(G81:L81)=0,"No scores entered",IF(U81="","Set status (official/provisional)",IF(COUNTIFS($A$2:$A$101,A81,$B$2:$B$101,B81,$D$2:$D$101,D81)&gt;1,"Duplicate entry","OK to upload"))))))))</f>
        <v/>
      </c>
    </row>
    <row r="82" customFormat="false" ht="15" hidden="false" customHeight="true" outlineLevel="0" collapsed="false">
      <c r="A82" s="41"/>
      <c r="B82" s="40"/>
      <c r="C82" s="40"/>
      <c r="D82" s="40"/>
      <c r="E82" s="44" t="str">
        <f aca="false">IFERROR(IF(D82="","",VLOOKUP(D82,Members!$A$2:$C$16,2,FALSE())),"")</f>
        <v/>
      </c>
      <c r="F82" s="44" t="str">
        <f aca="false">IFERROR(IF(D82="","",VLOOKUP(D82,Members!$A$2:$C$16,3,FALSE())),"")</f>
        <v/>
      </c>
      <c r="G82" s="45"/>
      <c r="H82" s="45"/>
      <c r="I82" s="45"/>
      <c r="J82" s="45"/>
      <c r="K82" s="45"/>
      <c r="L82" s="45"/>
      <c r="M82" s="46"/>
      <c r="N82" s="46"/>
      <c r="O82" s="46"/>
      <c r="P82" s="46"/>
      <c r="Q82" s="46"/>
      <c r="R82" s="46"/>
      <c r="S82" s="47" t="str">
        <f aca="false">IF(COUNT(G82:L82)=0,"",SUM(G82:L82))</f>
        <v/>
      </c>
      <c r="T82" s="48" t="str">
        <f aca="false">IF(COUNT(M82:R82)=0,"",SUM(M82:R82))</f>
        <v/>
      </c>
      <c r="U82" s="40"/>
      <c r="V82" s="42"/>
      <c r="Y82" s="49" t="str">
        <f aca="false">IF(AND(A82="",B82="",D82="",COUNT(G82:L82)=0),"",IF(D82="","Missing shooter",IF(A82="","Missing date",IF(B82="","Missing event",IF(E82="","Club not in roster (type manually)",IF(COUNT(G82:L82)=0,"No scores entered",IF(U82="","Set status (official/provisional)",IF(COUNTIFS($A$2:$A$101,A82,$B$2:$B$101,B82,$D$2:$D$101,D82)&gt;1,"Duplicate entry","OK to upload"))))))))</f>
        <v/>
      </c>
    </row>
    <row r="83" customFormat="false" ht="15" hidden="false" customHeight="true" outlineLevel="0" collapsed="false">
      <c r="A83" s="41"/>
      <c r="B83" s="40"/>
      <c r="C83" s="40"/>
      <c r="D83" s="40"/>
      <c r="E83" s="44" t="str">
        <f aca="false">IFERROR(IF(D83="","",VLOOKUP(D83,Members!$A$2:$C$16,2,FALSE())),"")</f>
        <v/>
      </c>
      <c r="F83" s="44" t="str">
        <f aca="false">IFERROR(IF(D83="","",VLOOKUP(D83,Members!$A$2:$C$16,3,FALSE())),"")</f>
        <v/>
      </c>
      <c r="G83" s="45"/>
      <c r="H83" s="45"/>
      <c r="I83" s="45"/>
      <c r="J83" s="45"/>
      <c r="K83" s="45"/>
      <c r="L83" s="45"/>
      <c r="M83" s="46"/>
      <c r="N83" s="46"/>
      <c r="O83" s="46"/>
      <c r="P83" s="46"/>
      <c r="Q83" s="46"/>
      <c r="R83" s="46"/>
      <c r="S83" s="47" t="str">
        <f aca="false">IF(COUNT(G83:L83)=0,"",SUM(G83:L83))</f>
        <v/>
      </c>
      <c r="T83" s="48" t="str">
        <f aca="false">IF(COUNT(M83:R83)=0,"",SUM(M83:R83))</f>
        <v/>
      </c>
      <c r="U83" s="40"/>
      <c r="V83" s="42"/>
      <c r="Y83" s="49" t="str">
        <f aca="false">IF(AND(A83="",B83="",D83="",COUNT(G83:L83)=0),"",IF(D83="","Missing shooter",IF(A83="","Missing date",IF(B83="","Missing event",IF(E83="","Club not in roster (type manually)",IF(COUNT(G83:L83)=0,"No scores entered",IF(U83="","Set status (official/provisional)",IF(COUNTIFS($A$2:$A$101,A83,$B$2:$B$101,B83,$D$2:$D$101,D83)&gt;1,"Duplicate entry","OK to upload"))))))))</f>
        <v/>
      </c>
    </row>
    <row r="84" customFormat="false" ht="15" hidden="false" customHeight="true" outlineLevel="0" collapsed="false">
      <c r="A84" s="41"/>
      <c r="B84" s="40"/>
      <c r="C84" s="40"/>
      <c r="D84" s="40"/>
      <c r="E84" s="44" t="str">
        <f aca="false">IFERROR(IF(D84="","",VLOOKUP(D84,Members!$A$2:$C$16,2,FALSE())),"")</f>
        <v/>
      </c>
      <c r="F84" s="44" t="str">
        <f aca="false">IFERROR(IF(D84="","",VLOOKUP(D84,Members!$A$2:$C$16,3,FALSE())),"")</f>
        <v/>
      </c>
      <c r="G84" s="45"/>
      <c r="H84" s="45"/>
      <c r="I84" s="45"/>
      <c r="J84" s="45"/>
      <c r="K84" s="45"/>
      <c r="L84" s="45"/>
      <c r="M84" s="46"/>
      <c r="N84" s="46"/>
      <c r="O84" s="46"/>
      <c r="P84" s="46"/>
      <c r="Q84" s="46"/>
      <c r="R84" s="46"/>
      <c r="S84" s="47" t="str">
        <f aca="false">IF(COUNT(G84:L84)=0,"",SUM(G84:L84))</f>
        <v/>
      </c>
      <c r="T84" s="48" t="str">
        <f aca="false">IF(COUNT(M84:R84)=0,"",SUM(M84:R84))</f>
        <v/>
      </c>
      <c r="U84" s="40"/>
      <c r="V84" s="42"/>
      <c r="Y84" s="49" t="str">
        <f aca="false">IF(AND(A84="",B84="",D84="",COUNT(G84:L84)=0),"",IF(D84="","Missing shooter",IF(A84="","Missing date",IF(B84="","Missing event",IF(E84="","Club not in roster (type manually)",IF(COUNT(G84:L84)=0,"No scores entered",IF(U84="","Set status (official/provisional)",IF(COUNTIFS($A$2:$A$101,A84,$B$2:$B$101,B84,$D$2:$D$101,D84)&gt;1,"Duplicate entry","OK to upload"))))))))</f>
        <v/>
      </c>
    </row>
    <row r="85" customFormat="false" ht="15" hidden="false" customHeight="true" outlineLevel="0" collapsed="false">
      <c r="A85" s="41"/>
      <c r="B85" s="40"/>
      <c r="C85" s="40"/>
      <c r="D85" s="40"/>
      <c r="E85" s="44" t="str">
        <f aca="false">IFERROR(IF(D85="","",VLOOKUP(D85,Members!$A$2:$C$16,2,FALSE())),"")</f>
        <v/>
      </c>
      <c r="F85" s="44" t="str">
        <f aca="false">IFERROR(IF(D85="","",VLOOKUP(D85,Members!$A$2:$C$16,3,FALSE())),"")</f>
        <v/>
      </c>
      <c r="G85" s="45"/>
      <c r="H85" s="45"/>
      <c r="I85" s="45"/>
      <c r="J85" s="45"/>
      <c r="K85" s="45"/>
      <c r="L85" s="45"/>
      <c r="M85" s="46"/>
      <c r="N85" s="46"/>
      <c r="O85" s="46"/>
      <c r="P85" s="46"/>
      <c r="Q85" s="46"/>
      <c r="R85" s="46"/>
      <c r="S85" s="47" t="str">
        <f aca="false">IF(COUNT(G85:L85)=0,"",SUM(G85:L85))</f>
        <v/>
      </c>
      <c r="T85" s="48" t="str">
        <f aca="false">IF(COUNT(M85:R85)=0,"",SUM(M85:R85))</f>
        <v/>
      </c>
      <c r="U85" s="40"/>
      <c r="V85" s="42"/>
      <c r="Y85" s="49" t="str">
        <f aca="false">IF(AND(A85="",B85="",D85="",COUNT(G85:L85)=0),"",IF(D85="","Missing shooter",IF(A85="","Missing date",IF(B85="","Missing event",IF(E85="","Club not in roster (type manually)",IF(COUNT(G85:L85)=0,"No scores entered",IF(U85="","Set status (official/provisional)",IF(COUNTIFS($A$2:$A$101,A85,$B$2:$B$101,B85,$D$2:$D$101,D85)&gt;1,"Duplicate entry","OK to upload"))))))))</f>
        <v/>
      </c>
    </row>
    <row r="86" customFormat="false" ht="15" hidden="false" customHeight="true" outlineLevel="0" collapsed="false">
      <c r="A86" s="41"/>
      <c r="B86" s="40"/>
      <c r="C86" s="40"/>
      <c r="D86" s="40"/>
      <c r="E86" s="44" t="str">
        <f aca="false">IFERROR(IF(D86="","",VLOOKUP(D86,Members!$A$2:$C$16,2,FALSE())),"")</f>
        <v/>
      </c>
      <c r="F86" s="44" t="str">
        <f aca="false">IFERROR(IF(D86="","",VLOOKUP(D86,Members!$A$2:$C$16,3,FALSE())),"")</f>
        <v/>
      </c>
      <c r="G86" s="45"/>
      <c r="H86" s="45"/>
      <c r="I86" s="45"/>
      <c r="J86" s="45"/>
      <c r="K86" s="45"/>
      <c r="L86" s="45"/>
      <c r="M86" s="46"/>
      <c r="N86" s="46"/>
      <c r="O86" s="46"/>
      <c r="P86" s="46"/>
      <c r="Q86" s="46"/>
      <c r="R86" s="46"/>
      <c r="S86" s="47" t="str">
        <f aca="false">IF(COUNT(G86:L86)=0,"",SUM(G86:L86))</f>
        <v/>
      </c>
      <c r="T86" s="48" t="str">
        <f aca="false">IF(COUNT(M86:R86)=0,"",SUM(M86:R86))</f>
        <v/>
      </c>
      <c r="U86" s="40"/>
      <c r="V86" s="42"/>
      <c r="Y86" s="49" t="str">
        <f aca="false">IF(AND(A86="",B86="",D86="",COUNT(G86:L86)=0),"",IF(D86="","Missing shooter",IF(A86="","Missing date",IF(B86="","Missing event",IF(E86="","Club not in roster (type manually)",IF(COUNT(G86:L86)=0,"No scores entered",IF(U86="","Set status (official/provisional)",IF(COUNTIFS($A$2:$A$101,A86,$B$2:$B$101,B86,$D$2:$D$101,D86)&gt;1,"Duplicate entry","OK to upload"))))))))</f>
        <v/>
      </c>
    </row>
    <row r="87" customFormat="false" ht="15" hidden="false" customHeight="true" outlineLevel="0" collapsed="false">
      <c r="A87" s="41"/>
      <c r="B87" s="40"/>
      <c r="C87" s="40"/>
      <c r="D87" s="40"/>
      <c r="E87" s="44" t="str">
        <f aca="false">IFERROR(IF(D87="","",VLOOKUP(D87,Members!$A$2:$C$16,2,FALSE())),"")</f>
        <v/>
      </c>
      <c r="F87" s="44" t="str">
        <f aca="false">IFERROR(IF(D87="","",VLOOKUP(D87,Members!$A$2:$C$16,3,FALSE())),"")</f>
        <v/>
      </c>
      <c r="G87" s="45"/>
      <c r="H87" s="45"/>
      <c r="I87" s="45"/>
      <c r="J87" s="45"/>
      <c r="K87" s="45"/>
      <c r="L87" s="45"/>
      <c r="M87" s="46"/>
      <c r="N87" s="46"/>
      <c r="O87" s="46"/>
      <c r="P87" s="46"/>
      <c r="Q87" s="46"/>
      <c r="R87" s="46"/>
      <c r="S87" s="47" t="str">
        <f aca="false">IF(COUNT(G87:L87)=0,"",SUM(G87:L87))</f>
        <v/>
      </c>
      <c r="T87" s="48" t="str">
        <f aca="false">IF(COUNT(M87:R87)=0,"",SUM(M87:R87))</f>
        <v/>
      </c>
      <c r="U87" s="40"/>
      <c r="V87" s="42"/>
      <c r="Y87" s="49" t="str">
        <f aca="false">IF(AND(A87="",B87="",D87="",COUNT(G87:L87)=0),"",IF(D87="","Missing shooter",IF(A87="","Missing date",IF(B87="","Missing event",IF(E87="","Club not in roster (type manually)",IF(COUNT(G87:L87)=0,"No scores entered",IF(U87="","Set status (official/provisional)",IF(COUNTIFS($A$2:$A$101,A87,$B$2:$B$101,B87,$D$2:$D$101,D87)&gt;1,"Duplicate entry","OK to upload"))))))))</f>
        <v/>
      </c>
    </row>
    <row r="88" customFormat="false" ht="15" hidden="false" customHeight="true" outlineLevel="0" collapsed="false">
      <c r="A88" s="41"/>
      <c r="B88" s="40"/>
      <c r="C88" s="40"/>
      <c r="D88" s="40"/>
      <c r="E88" s="44" t="str">
        <f aca="false">IFERROR(IF(D88="","",VLOOKUP(D88,Members!$A$2:$C$16,2,FALSE())),"")</f>
        <v/>
      </c>
      <c r="F88" s="44" t="str">
        <f aca="false">IFERROR(IF(D88="","",VLOOKUP(D88,Members!$A$2:$C$16,3,FALSE())),"")</f>
        <v/>
      </c>
      <c r="G88" s="45"/>
      <c r="H88" s="45"/>
      <c r="I88" s="45"/>
      <c r="J88" s="45"/>
      <c r="K88" s="45"/>
      <c r="L88" s="45"/>
      <c r="M88" s="46"/>
      <c r="N88" s="46"/>
      <c r="O88" s="46"/>
      <c r="P88" s="46"/>
      <c r="Q88" s="46"/>
      <c r="R88" s="46"/>
      <c r="S88" s="47" t="str">
        <f aca="false">IF(COUNT(G88:L88)=0,"",SUM(G88:L88))</f>
        <v/>
      </c>
      <c r="T88" s="48" t="str">
        <f aca="false">IF(COUNT(M88:R88)=0,"",SUM(M88:R88))</f>
        <v/>
      </c>
      <c r="U88" s="40"/>
      <c r="V88" s="42"/>
      <c r="Y88" s="49" t="str">
        <f aca="false">IF(AND(A88="",B88="",D88="",COUNT(G88:L88)=0),"",IF(D88="","Missing shooter",IF(A88="","Missing date",IF(B88="","Missing event",IF(E88="","Club not in roster (type manually)",IF(COUNT(G88:L88)=0,"No scores entered",IF(U88="","Set status (official/provisional)",IF(COUNTIFS($A$2:$A$101,A88,$B$2:$B$101,B88,$D$2:$D$101,D88)&gt;1,"Duplicate entry","OK to upload"))))))))</f>
        <v/>
      </c>
    </row>
    <row r="89" customFormat="false" ht="15" hidden="false" customHeight="true" outlineLevel="0" collapsed="false">
      <c r="A89" s="41"/>
      <c r="B89" s="40"/>
      <c r="C89" s="40"/>
      <c r="D89" s="40"/>
      <c r="E89" s="44" t="str">
        <f aca="false">IFERROR(IF(D89="","",VLOOKUP(D89,Members!$A$2:$C$16,2,FALSE())),"")</f>
        <v/>
      </c>
      <c r="F89" s="44" t="str">
        <f aca="false">IFERROR(IF(D89="","",VLOOKUP(D89,Members!$A$2:$C$16,3,FALSE())),"")</f>
        <v/>
      </c>
      <c r="G89" s="45"/>
      <c r="H89" s="45"/>
      <c r="I89" s="45"/>
      <c r="J89" s="45"/>
      <c r="K89" s="45"/>
      <c r="L89" s="45"/>
      <c r="M89" s="46"/>
      <c r="N89" s="46"/>
      <c r="O89" s="46"/>
      <c r="P89" s="46"/>
      <c r="Q89" s="46"/>
      <c r="R89" s="46"/>
      <c r="S89" s="47" t="str">
        <f aca="false">IF(COUNT(G89:L89)=0,"",SUM(G89:L89))</f>
        <v/>
      </c>
      <c r="T89" s="48" t="str">
        <f aca="false">IF(COUNT(M89:R89)=0,"",SUM(M89:R89))</f>
        <v/>
      </c>
      <c r="U89" s="40"/>
      <c r="V89" s="42"/>
      <c r="Y89" s="49" t="str">
        <f aca="false">IF(AND(A89="",B89="",D89="",COUNT(G89:L89)=0),"",IF(D89="","Missing shooter",IF(A89="","Missing date",IF(B89="","Missing event",IF(E89="","Club not in roster (type manually)",IF(COUNT(G89:L89)=0,"No scores entered",IF(U89="","Set status (official/provisional)",IF(COUNTIFS($A$2:$A$101,A89,$B$2:$B$101,B89,$D$2:$D$101,D89)&gt;1,"Duplicate entry","OK to upload"))))))))</f>
        <v/>
      </c>
    </row>
    <row r="90" customFormat="false" ht="15" hidden="false" customHeight="true" outlineLevel="0" collapsed="false">
      <c r="A90" s="41"/>
      <c r="B90" s="40"/>
      <c r="C90" s="40"/>
      <c r="D90" s="40"/>
      <c r="E90" s="44" t="str">
        <f aca="false">IFERROR(IF(D90="","",VLOOKUP(D90,Members!$A$2:$C$16,2,FALSE())),"")</f>
        <v/>
      </c>
      <c r="F90" s="44" t="str">
        <f aca="false">IFERROR(IF(D90="","",VLOOKUP(D90,Members!$A$2:$C$16,3,FALSE())),"")</f>
        <v/>
      </c>
      <c r="G90" s="45"/>
      <c r="H90" s="45"/>
      <c r="I90" s="45"/>
      <c r="J90" s="45"/>
      <c r="K90" s="45"/>
      <c r="L90" s="45"/>
      <c r="M90" s="46"/>
      <c r="N90" s="46"/>
      <c r="O90" s="46"/>
      <c r="P90" s="46"/>
      <c r="Q90" s="46"/>
      <c r="R90" s="46"/>
      <c r="S90" s="47" t="str">
        <f aca="false">IF(COUNT(G90:L90)=0,"",SUM(G90:L90))</f>
        <v/>
      </c>
      <c r="T90" s="48" t="str">
        <f aca="false">IF(COUNT(M90:R90)=0,"",SUM(M90:R90))</f>
        <v/>
      </c>
      <c r="U90" s="40"/>
      <c r="V90" s="42"/>
      <c r="Y90" s="49" t="str">
        <f aca="false">IF(AND(A90="",B90="",D90="",COUNT(G90:L90)=0),"",IF(D90="","Missing shooter",IF(A90="","Missing date",IF(B90="","Missing event",IF(E90="","Club not in roster (type manually)",IF(COUNT(G90:L90)=0,"No scores entered",IF(U90="","Set status (official/provisional)",IF(COUNTIFS($A$2:$A$101,A90,$B$2:$B$101,B90,$D$2:$D$101,D90)&gt;1,"Duplicate entry","OK to upload"))))))))</f>
        <v/>
      </c>
    </row>
    <row r="91" customFormat="false" ht="15" hidden="false" customHeight="true" outlineLevel="0" collapsed="false">
      <c r="A91" s="41"/>
      <c r="B91" s="40"/>
      <c r="C91" s="40"/>
      <c r="D91" s="40"/>
      <c r="E91" s="44" t="str">
        <f aca="false">IFERROR(IF(D91="","",VLOOKUP(D91,Members!$A$2:$C$16,2,FALSE())),"")</f>
        <v/>
      </c>
      <c r="F91" s="44" t="str">
        <f aca="false">IFERROR(IF(D91="","",VLOOKUP(D91,Members!$A$2:$C$16,3,FALSE())),"")</f>
        <v/>
      </c>
      <c r="G91" s="45"/>
      <c r="H91" s="45"/>
      <c r="I91" s="45"/>
      <c r="J91" s="45"/>
      <c r="K91" s="45"/>
      <c r="L91" s="45"/>
      <c r="M91" s="46"/>
      <c r="N91" s="46"/>
      <c r="O91" s="46"/>
      <c r="P91" s="46"/>
      <c r="Q91" s="46"/>
      <c r="R91" s="46"/>
      <c r="S91" s="47" t="str">
        <f aca="false">IF(COUNT(G91:L91)=0,"",SUM(G91:L91))</f>
        <v/>
      </c>
      <c r="T91" s="48" t="str">
        <f aca="false">IF(COUNT(M91:R91)=0,"",SUM(M91:R91))</f>
        <v/>
      </c>
      <c r="U91" s="40"/>
      <c r="V91" s="42"/>
      <c r="Y91" s="49" t="str">
        <f aca="false">IF(AND(A91="",B91="",D91="",COUNT(G91:L91)=0),"",IF(D91="","Missing shooter",IF(A91="","Missing date",IF(B91="","Missing event",IF(E91="","Club not in roster (type manually)",IF(COUNT(G91:L91)=0,"No scores entered",IF(U91="","Set status (official/provisional)",IF(COUNTIFS($A$2:$A$101,A91,$B$2:$B$101,B91,$D$2:$D$101,D91)&gt;1,"Duplicate entry","OK to upload"))))))))</f>
        <v/>
      </c>
    </row>
    <row r="92" customFormat="false" ht="15" hidden="false" customHeight="true" outlineLevel="0" collapsed="false">
      <c r="A92" s="41"/>
      <c r="B92" s="40"/>
      <c r="C92" s="40"/>
      <c r="D92" s="40"/>
      <c r="E92" s="44" t="str">
        <f aca="false">IFERROR(IF(D92="","",VLOOKUP(D92,Members!$A$2:$C$16,2,FALSE())),"")</f>
        <v/>
      </c>
      <c r="F92" s="44" t="str">
        <f aca="false">IFERROR(IF(D92="","",VLOOKUP(D92,Members!$A$2:$C$16,3,FALSE())),"")</f>
        <v/>
      </c>
      <c r="G92" s="45"/>
      <c r="H92" s="45"/>
      <c r="I92" s="45"/>
      <c r="J92" s="45"/>
      <c r="K92" s="45"/>
      <c r="L92" s="45"/>
      <c r="M92" s="46"/>
      <c r="N92" s="46"/>
      <c r="O92" s="46"/>
      <c r="P92" s="46"/>
      <c r="Q92" s="46"/>
      <c r="R92" s="46"/>
      <c r="S92" s="47" t="str">
        <f aca="false">IF(COUNT(G92:L92)=0,"",SUM(G92:L92))</f>
        <v/>
      </c>
      <c r="T92" s="48" t="str">
        <f aca="false">IF(COUNT(M92:R92)=0,"",SUM(M92:R92))</f>
        <v/>
      </c>
      <c r="U92" s="40"/>
      <c r="V92" s="42"/>
      <c r="Y92" s="49" t="str">
        <f aca="false">IF(AND(A92="",B92="",D92="",COUNT(G92:L92)=0),"",IF(D92="","Missing shooter",IF(A92="","Missing date",IF(B92="","Missing event",IF(E92="","Club not in roster (type manually)",IF(COUNT(G92:L92)=0,"No scores entered",IF(U92="","Set status (official/provisional)",IF(COUNTIFS($A$2:$A$101,A92,$B$2:$B$101,B92,$D$2:$D$101,D92)&gt;1,"Duplicate entry","OK to upload"))))))))</f>
        <v/>
      </c>
    </row>
    <row r="93" customFormat="false" ht="15" hidden="false" customHeight="true" outlineLevel="0" collapsed="false">
      <c r="A93" s="41"/>
      <c r="B93" s="40"/>
      <c r="C93" s="40"/>
      <c r="D93" s="40"/>
      <c r="E93" s="44" t="str">
        <f aca="false">IFERROR(IF(D93="","",VLOOKUP(D93,Members!$A$2:$C$16,2,FALSE())),"")</f>
        <v/>
      </c>
      <c r="F93" s="44" t="str">
        <f aca="false">IFERROR(IF(D93="","",VLOOKUP(D93,Members!$A$2:$C$16,3,FALSE())),"")</f>
        <v/>
      </c>
      <c r="G93" s="45"/>
      <c r="H93" s="45"/>
      <c r="I93" s="45"/>
      <c r="J93" s="45"/>
      <c r="K93" s="45"/>
      <c r="L93" s="45"/>
      <c r="M93" s="46"/>
      <c r="N93" s="46"/>
      <c r="O93" s="46"/>
      <c r="P93" s="46"/>
      <c r="Q93" s="46"/>
      <c r="R93" s="46"/>
      <c r="S93" s="47" t="str">
        <f aca="false">IF(COUNT(G93:L93)=0,"",SUM(G93:L93))</f>
        <v/>
      </c>
      <c r="T93" s="48" t="str">
        <f aca="false">IF(COUNT(M93:R93)=0,"",SUM(M93:R93))</f>
        <v/>
      </c>
      <c r="U93" s="40"/>
      <c r="V93" s="42"/>
      <c r="Y93" s="49" t="str">
        <f aca="false">IF(AND(A93="",B93="",D93="",COUNT(G93:L93)=0),"",IF(D93="","Missing shooter",IF(A93="","Missing date",IF(B93="","Missing event",IF(E93="","Club not in roster (type manually)",IF(COUNT(G93:L93)=0,"No scores entered",IF(U93="","Set status (official/provisional)",IF(COUNTIFS($A$2:$A$101,A93,$B$2:$B$101,B93,$D$2:$D$101,D93)&gt;1,"Duplicate entry","OK to upload"))))))))</f>
        <v/>
      </c>
    </row>
    <row r="94" customFormat="false" ht="15" hidden="false" customHeight="true" outlineLevel="0" collapsed="false">
      <c r="A94" s="41"/>
      <c r="B94" s="40"/>
      <c r="C94" s="40"/>
      <c r="D94" s="40"/>
      <c r="E94" s="44" t="str">
        <f aca="false">IFERROR(IF(D94="","",VLOOKUP(D94,Members!$A$2:$C$16,2,FALSE())),"")</f>
        <v/>
      </c>
      <c r="F94" s="44" t="str">
        <f aca="false">IFERROR(IF(D94="","",VLOOKUP(D94,Members!$A$2:$C$16,3,FALSE())),"")</f>
        <v/>
      </c>
      <c r="G94" s="45"/>
      <c r="H94" s="45"/>
      <c r="I94" s="45"/>
      <c r="J94" s="45"/>
      <c r="K94" s="45"/>
      <c r="L94" s="45"/>
      <c r="M94" s="46"/>
      <c r="N94" s="46"/>
      <c r="O94" s="46"/>
      <c r="P94" s="46"/>
      <c r="Q94" s="46"/>
      <c r="R94" s="46"/>
      <c r="S94" s="47" t="str">
        <f aca="false">IF(COUNT(G94:L94)=0,"",SUM(G94:L94))</f>
        <v/>
      </c>
      <c r="T94" s="48" t="str">
        <f aca="false">IF(COUNT(M94:R94)=0,"",SUM(M94:R94))</f>
        <v/>
      </c>
      <c r="U94" s="40"/>
      <c r="V94" s="42"/>
      <c r="Y94" s="49" t="str">
        <f aca="false">IF(AND(A94="",B94="",D94="",COUNT(G94:L94)=0),"",IF(D94="","Missing shooter",IF(A94="","Missing date",IF(B94="","Missing event",IF(E94="","Club not in roster (type manually)",IF(COUNT(G94:L94)=0,"No scores entered",IF(U94="","Set status (official/provisional)",IF(COUNTIFS($A$2:$A$101,A94,$B$2:$B$101,B94,$D$2:$D$101,D94)&gt;1,"Duplicate entry","OK to upload"))))))))</f>
        <v/>
      </c>
    </row>
    <row r="95" customFormat="false" ht="15" hidden="false" customHeight="true" outlineLevel="0" collapsed="false">
      <c r="A95" s="41"/>
      <c r="B95" s="40"/>
      <c r="C95" s="40"/>
      <c r="D95" s="40"/>
      <c r="E95" s="44" t="str">
        <f aca="false">IFERROR(IF(D95="","",VLOOKUP(D95,Members!$A$2:$C$16,2,FALSE())),"")</f>
        <v/>
      </c>
      <c r="F95" s="44" t="str">
        <f aca="false">IFERROR(IF(D95="","",VLOOKUP(D95,Members!$A$2:$C$16,3,FALSE())),"")</f>
        <v/>
      </c>
      <c r="G95" s="45"/>
      <c r="H95" s="45"/>
      <c r="I95" s="45"/>
      <c r="J95" s="45"/>
      <c r="K95" s="45"/>
      <c r="L95" s="45"/>
      <c r="M95" s="46"/>
      <c r="N95" s="46"/>
      <c r="O95" s="46"/>
      <c r="P95" s="46"/>
      <c r="Q95" s="46"/>
      <c r="R95" s="46"/>
      <c r="S95" s="47" t="str">
        <f aca="false">IF(COUNT(G95:L95)=0,"",SUM(G95:L95))</f>
        <v/>
      </c>
      <c r="T95" s="48" t="str">
        <f aca="false">IF(COUNT(M95:R95)=0,"",SUM(M95:R95))</f>
        <v/>
      </c>
      <c r="U95" s="40"/>
      <c r="V95" s="42"/>
      <c r="Y95" s="49" t="str">
        <f aca="false">IF(AND(A95="",B95="",D95="",COUNT(G95:L95)=0),"",IF(D95="","Missing shooter",IF(A95="","Missing date",IF(B95="","Missing event",IF(E95="","Club not in roster (type manually)",IF(COUNT(G95:L95)=0,"No scores entered",IF(U95="","Set status (official/provisional)",IF(COUNTIFS($A$2:$A$101,A95,$B$2:$B$101,B95,$D$2:$D$101,D95)&gt;1,"Duplicate entry","OK to upload"))))))))</f>
        <v/>
      </c>
    </row>
    <row r="96" customFormat="false" ht="15" hidden="false" customHeight="true" outlineLevel="0" collapsed="false">
      <c r="A96" s="41"/>
      <c r="B96" s="40"/>
      <c r="C96" s="40"/>
      <c r="D96" s="40"/>
      <c r="E96" s="44" t="str">
        <f aca="false">IFERROR(IF(D96="","",VLOOKUP(D96,Members!$A$2:$C$16,2,FALSE())),"")</f>
        <v/>
      </c>
      <c r="F96" s="44" t="str">
        <f aca="false">IFERROR(IF(D96="","",VLOOKUP(D96,Members!$A$2:$C$16,3,FALSE())),"")</f>
        <v/>
      </c>
      <c r="G96" s="45"/>
      <c r="H96" s="45"/>
      <c r="I96" s="45"/>
      <c r="J96" s="45"/>
      <c r="K96" s="45"/>
      <c r="L96" s="45"/>
      <c r="M96" s="46"/>
      <c r="N96" s="46"/>
      <c r="O96" s="46"/>
      <c r="P96" s="46"/>
      <c r="Q96" s="46"/>
      <c r="R96" s="46"/>
      <c r="S96" s="47" t="str">
        <f aca="false">IF(COUNT(G96:L96)=0,"",SUM(G96:L96))</f>
        <v/>
      </c>
      <c r="T96" s="48" t="str">
        <f aca="false">IF(COUNT(M96:R96)=0,"",SUM(M96:R96))</f>
        <v/>
      </c>
      <c r="U96" s="40"/>
      <c r="V96" s="42"/>
      <c r="Y96" s="49" t="str">
        <f aca="false">IF(AND(A96="",B96="",D96="",COUNT(G96:L96)=0),"",IF(D96="","Missing shooter",IF(A96="","Missing date",IF(B96="","Missing event",IF(E96="","Club not in roster (type manually)",IF(COUNT(G96:L96)=0,"No scores entered",IF(U96="","Set status (official/provisional)",IF(COUNTIFS($A$2:$A$101,A96,$B$2:$B$101,B96,$D$2:$D$101,D96)&gt;1,"Duplicate entry","OK to upload"))))))))</f>
        <v/>
      </c>
    </row>
    <row r="97" customFormat="false" ht="15" hidden="false" customHeight="true" outlineLevel="0" collapsed="false">
      <c r="A97" s="41"/>
      <c r="B97" s="40"/>
      <c r="C97" s="40"/>
      <c r="D97" s="40"/>
      <c r="E97" s="44" t="str">
        <f aca="false">IFERROR(IF(D97="","",VLOOKUP(D97,Members!$A$2:$C$16,2,FALSE())),"")</f>
        <v/>
      </c>
      <c r="F97" s="44" t="str">
        <f aca="false">IFERROR(IF(D97="","",VLOOKUP(D97,Members!$A$2:$C$16,3,FALSE())),"")</f>
        <v/>
      </c>
      <c r="G97" s="45"/>
      <c r="H97" s="45"/>
      <c r="I97" s="45"/>
      <c r="J97" s="45"/>
      <c r="K97" s="45"/>
      <c r="L97" s="45"/>
      <c r="M97" s="46"/>
      <c r="N97" s="46"/>
      <c r="O97" s="46"/>
      <c r="P97" s="46"/>
      <c r="Q97" s="46"/>
      <c r="R97" s="46"/>
      <c r="S97" s="47" t="str">
        <f aca="false">IF(COUNT(G97:L97)=0,"",SUM(G97:L97))</f>
        <v/>
      </c>
      <c r="T97" s="48" t="str">
        <f aca="false">IF(COUNT(M97:R97)=0,"",SUM(M97:R97))</f>
        <v/>
      </c>
      <c r="U97" s="40"/>
      <c r="V97" s="42"/>
      <c r="Y97" s="49" t="str">
        <f aca="false">IF(AND(A97="",B97="",D97="",COUNT(G97:L97)=0),"",IF(D97="","Missing shooter",IF(A97="","Missing date",IF(B97="","Missing event",IF(E97="","Club not in roster (type manually)",IF(COUNT(G97:L97)=0,"No scores entered",IF(U97="","Set status (official/provisional)",IF(COUNTIFS($A$2:$A$101,A97,$B$2:$B$101,B97,$D$2:$D$101,D97)&gt;1,"Duplicate entry","OK to upload"))))))))</f>
        <v/>
      </c>
    </row>
    <row r="98" customFormat="false" ht="15" hidden="false" customHeight="true" outlineLevel="0" collapsed="false">
      <c r="A98" s="41"/>
      <c r="B98" s="40"/>
      <c r="C98" s="40"/>
      <c r="D98" s="40"/>
      <c r="E98" s="44" t="str">
        <f aca="false">IFERROR(IF(D98="","",VLOOKUP(D98,Members!$A$2:$C$16,2,FALSE())),"")</f>
        <v/>
      </c>
      <c r="F98" s="44" t="str">
        <f aca="false">IFERROR(IF(D98="","",VLOOKUP(D98,Members!$A$2:$C$16,3,FALSE())),"")</f>
        <v/>
      </c>
      <c r="G98" s="45"/>
      <c r="H98" s="45"/>
      <c r="I98" s="45"/>
      <c r="J98" s="45"/>
      <c r="K98" s="45"/>
      <c r="L98" s="45"/>
      <c r="M98" s="46"/>
      <c r="N98" s="46"/>
      <c r="O98" s="46"/>
      <c r="P98" s="46"/>
      <c r="Q98" s="46"/>
      <c r="R98" s="46"/>
      <c r="S98" s="47" t="str">
        <f aca="false">IF(COUNT(G98:L98)=0,"",SUM(G98:L98))</f>
        <v/>
      </c>
      <c r="T98" s="48" t="str">
        <f aca="false">IF(COUNT(M98:R98)=0,"",SUM(M98:R98))</f>
        <v/>
      </c>
      <c r="U98" s="40"/>
      <c r="V98" s="42"/>
      <c r="Y98" s="49" t="str">
        <f aca="false">IF(AND(A98="",B98="",D98="",COUNT(G98:L98)=0),"",IF(D98="","Missing shooter",IF(A98="","Missing date",IF(B98="","Missing event",IF(E98="","Club not in roster (type manually)",IF(COUNT(G98:L98)=0,"No scores entered",IF(U98="","Set status (official/provisional)",IF(COUNTIFS($A$2:$A$101,A98,$B$2:$B$101,B98,$D$2:$D$101,D98)&gt;1,"Duplicate entry","OK to upload"))))))))</f>
        <v/>
      </c>
    </row>
    <row r="99" customFormat="false" ht="15" hidden="false" customHeight="true" outlineLevel="0" collapsed="false">
      <c r="A99" s="41"/>
      <c r="B99" s="40"/>
      <c r="C99" s="40"/>
      <c r="D99" s="40"/>
      <c r="E99" s="44" t="str">
        <f aca="false">IFERROR(IF(D99="","",VLOOKUP(D99,Members!$A$2:$C$16,2,FALSE())),"")</f>
        <v/>
      </c>
      <c r="F99" s="44" t="str">
        <f aca="false">IFERROR(IF(D99="","",VLOOKUP(D99,Members!$A$2:$C$16,3,FALSE())),"")</f>
        <v/>
      </c>
      <c r="G99" s="45"/>
      <c r="H99" s="45"/>
      <c r="I99" s="45"/>
      <c r="J99" s="45"/>
      <c r="K99" s="45"/>
      <c r="L99" s="45"/>
      <c r="M99" s="46"/>
      <c r="N99" s="46"/>
      <c r="O99" s="46"/>
      <c r="P99" s="46"/>
      <c r="Q99" s="46"/>
      <c r="R99" s="46"/>
      <c r="S99" s="47" t="str">
        <f aca="false">IF(COUNT(G99:L99)=0,"",SUM(G99:L99))</f>
        <v/>
      </c>
      <c r="T99" s="48" t="str">
        <f aca="false">IF(COUNT(M99:R99)=0,"",SUM(M99:R99))</f>
        <v/>
      </c>
      <c r="U99" s="40"/>
      <c r="V99" s="42"/>
      <c r="Y99" s="49" t="str">
        <f aca="false">IF(AND(A99="",B99="",D99="",COUNT(G99:L99)=0),"",IF(D99="","Missing shooter",IF(A99="","Missing date",IF(B99="","Missing event",IF(E99="","Club not in roster (type manually)",IF(COUNT(G99:L99)=0,"No scores entered",IF(U99="","Set status (official/provisional)",IF(COUNTIFS($A$2:$A$101,A99,$B$2:$B$101,B99,$D$2:$D$101,D99)&gt;1,"Duplicate entry","OK to upload"))))))))</f>
        <v/>
      </c>
    </row>
    <row r="100" customFormat="false" ht="15" hidden="false" customHeight="true" outlineLevel="0" collapsed="false">
      <c r="A100" s="41"/>
      <c r="B100" s="40"/>
      <c r="C100" s="40"/>
      <c r="D100" s="40"/>
      <c r="E100" s="44" t="str">
        <f aca="false">IFERROR(IF(D100="","",VLOOKUP(D100,Members!$A$2:$C$16,2,FALSE())),"")</f>
        <v/>
      </c>
      <c r="F100" s="44" t="str">
        <f aca="false">IFERROR(IF(D100="","",VLOOKUP(D100,Members!$A$2:$C$16,3,FALSE())),"")</f>
        <v/>
      </c>
      <c r="G100" s="45"/>
      <c r="H100" s="45"/>
      <c r="I100" s="45"/>
      <c r="J100" s="45"/>
      <c r="K100" s="45"/>
      <c r="L100" s="45"/>
      <c r="M100" s="46"/>
      <c r="N100" s="46"/>
      <c r="O100" s="46"/>
      <c r="P100" s="46"/>
      <c r="Q100" s="46"/>
      <c r="R100" s="46"/>
      <c r="S100" s="47" t="str">
        <f aca="false">IF(COUNT(G100:L100)=0,"",SUM(G100:L100))</f>
        <v/>
      </c>
      <c r="T100" s="48" t="str">
        <f aca="false">IF(COUNT(M100:R100)=0,"",SUM(M100:R100))</f>
        <v/>
      </c>
      <c r="U100" s="40"/>
      <c r="V100" s="42"/>
      <c r="Y100" s="49" t="str">
        <f aca="false">IF(AND(A100="",B100="",D100="",COUNT(G100:L100)=0),"",IF(D100="","Missing shooter",IF(A100="","Missing date",IF(B100="","Missing event",IF(E100="","Club not in roster (type manually)",IF(COUNT(G100:L100)=0,"No scores entered",IF(U100="","Set status (official/provisional)",IF(COUNTIFS($A$2:$A$101,A100,$B$2:$B$101,B100,$D$2:$D$101,D100)&gt;1,"Duplicate entry","OK to upload"))))))))</f>
        <v/>
      </c>
    </row>
    <row r="101" customFormat="false" ht="15" hidden="false" customHeight="true" outlineLevel="0" collapsed="false">
      <c r="A101" s="41"/>
      <c r="B101" s="40"/>
      <c r="C101" s="40"/>
      <c r="D101" s="40"/>
      <c r="E101" s="44" t="str">
        <f aca="false">IFERROR(IF(D101="","",VLOOKUP(D101,Members!$A$2:$C$16,2,FALSE())),"")</f>
        <v/>
      </c>
      <c r="F101" s="44" t="str">
        <f aca="false">IFERROR(IF(D101="","",VLOOKUP(D101,Members!$A$2:$C$16,3,FALSE())),"")</f>
        <v/>
      </c>
      <c r="G101" s="45"/>
      <c r="H101" s="45"/>
      <c r="I101" s="45"/>
      <c r="J101" s="45"/>
      <c r="K101" s="45"/>
      <c r="L101" s="45"/>
      <c r="M101" s="46"/>
      <c r="N101" s="46"/>
      <c r="O101" s="46"/>
      <c r="P101" s="46"/>
      <c r="Q101" s="46"/>
      <c r="R101" s="46"/>
      <c r="S101" s="47" t="str">
        <f aca="false">IF(COUNT(G101:L101)=0,"",SUM(G101:L101))</f>
        <v/>
      </c>
      <c r="T101" s="48" t="str">
        <f aca="false">IF(COUNT(M101:R101)=0,"",SUM(M101:R101))</f>
        <v/>
      </c>
      <c r="U101" s="40"/>
      <c r="V101" s="42"/>
      <c r="Y101" s="49" t="str">
        <f aca="false">IF(AND(A101="",B101="",D101="",COUNT(G101:L101)=0),"",IF(D101="","Missing shooter",IF(A101="","Missing date",IF(B101="","Missing event",IF(E101="","Club not in roster (type manually)",IF(COUNT(G101:L101)=0,"No scores entered",IF(U101="","Set status (official/provisional)",IF(COUNTIFS($A$2:$A$101,A101,$B$2:$B$101,B101,$D$2:$D$101,D101)&gt;1,"Duplicate entry","OK to upload"))))))))</f>
        <v/>
      </c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A2:Y101">
    <cfRule type="expression" priority="2" aboveAverage="0" equalAverage="0" bottom="0" percent="0" rank="0" text="" dxfId="0">
      <formula>$Y2="OK to upload"</formula>
    </cfRule>
    <cfRule type="expression" priority="3" aboveAverage="0" equalAverage="0" bottom="0" percent="0" rank="0" text="" dxfId="1">
      <formula>AND($Y2&lt;&gt;"",$Y2&lt;&gt;"OK to upload")</formula>
    </cfRule>
  </conditionalFormatting>
  <dataValidations count="8">
    <dataValidation allowBlank="true" errorStyle="stop" operator="lessThanOrEqual" prompt="Too high - A 10-shot decimal series cannot exceed 109.0" showDropDown="false" showErrorMessage="true" showInputMessage="true" sqref="G2:L101" type="decimal">
      <formula1>109</formula1>
      <formula2>0</formula2>
    </dataValidation>
    <dataValidation allowBlank="true" errorStyle="stop" operator="lessThanOrEqual" prompt="Too high - Ring total per series max 100" showDropDown="false" showErrorMessage="true" showInputMessage="true" sqref="M2:R101" type="decimal">
      <formula1>100</formula1>
      <formula2>0</formula2>
    </dataValidation>
    <dataValidation allowBlank="true" errorStyle="stop" operator="between" showDropDown="false" showErrorMessage="false" showInputMessage="false" sqref="A2:A101" type="list">
      <formula1>Dates!$A$1:$A$730</formula1>
      <formula2>0</formula2>
    </dataValidation>
    <dataValidation allowBlank="true" errorStyle="stop" operator="between" showDropDown="false" showErrorMessage="false" showInputMessage="false" sqref="C2:C101" type="list">
      <formula1>"fclass_open,fclass_tr"</formula1>
      <formula2>0</formula2>
    </dataValidation>
    <dataValidation allowBlank="true" errorStyle="stop" operator="between" showDropDown="false" showErrorMessage="false" showInputMessage="false" sqref="D2:D101" type="list">
      <formula1>Members!$A$2:$A$16</formula1>
      <formula2>0</formula2>
    </dataValidation>
    <dataValidation allowBlank="true" errorStyle="stop" operator="between" showDropDown="false" showErrorMessage="false" showInputMessage="false" sqref="E2:E101" type="list">
      <formula1>"Modderbee,SATRF Club,Pretoria RC,Bloem Marksmen,Cape Rifle Club"</formula1>
      <formula2>0</formula2>
    </dataValidation>
    <dataValidation allowBlank="true" errorStyle="stop" operator="between" showDropDown="false" showErrorMessage="false" showInputMessage="false" sqref="U2:U101" type="list">
      <formula1>"official,provisional"</formula1>
      <formula2>0</formula2>
    </dataValidation>
    <dataValidation allowBlank="true" errorStyle="stop" operator="between" showDropDown="false" showErrorMessage="false" showInputMessage="false" sqref="F2:F101" type="list">
      <formula1>"open,junior,veteran,ladies"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12" min="7" style="0" width="8"/>
    <col collapsed="false" customWidth="true" hidden="false" outlineLevel="0" max="14" min="13" style="0" width="11"/>
    <col collapsed="false" customWidth="true" hidden="false" outlineLevel="0" max="15" min="15" style="0" width="34"/>
    <col collapsed="false" customWidth="true" hidden="false" outlineLevel="0" max="17" min="16" style="0" width="3"/>
    <col collapsed="false" customWidth="true" hidden="false" outlineLevel="0" max="18" min="18" style="0" width="16"/>
  </cols>
  <sheetData>
    <row r="1" customFormat="false" ht="16.15" hidden="false" customHeight="false" outlineLevel="0" collapsed="false">
      <c r="A1" s="50" t="s">
        <v>121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customFormat="false" ht="15" hidden="false" customHeight="false" outlineLevel="0" collapsed="false">
      <c r="A2" s="51" t="s">
        <v>122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4" customFormat="false" ht="15" hidden="false" customHeight="false" outlineLevel="0" collapsed="false">
      <c r="A4" s="52" t="s">
        <v>90</v>
      </c>
      <c r="B4" s="52" t="s">
        <v>91</v>
      </c>
      <c r="C4" s="52" t="s">
        <v>55</v>
      </c>
      <c r="D4" s="52" t="s">
        <v>92</v>
      </c>
      <c r="E4" s="52" t="s">
        <v>93</v>
      </c>
      <c r="F4" s="52" t="s">
        <v>65</v>
      </c>
      <c r="G4" s="52" t="s">
        <v>123</v>
      </c>
      <c r="H4" s="52" t="s">
        <v>124</v>
      </c>
      <c r="I4" s="52" t="s">
        <v>125</v>
      </c>
      <c r="J4" s="52" t="s">
        <v>126</v>
      </c>
      <c r="K4" s="52" t="s">
        <v>127</v>
      </c>
      <c r="L4" s="52" t="s">
        <v>128</v>
      </c>
      <c r="M4" s="53" t="s">
        <v>106</v>
      </c>
      <c r="N4" s="52" t="s">
        <v>23</v>
      </c>
      <c r="O4" s="52" t="s">
        <v>77</v>
      </c>
      <c r="P4" s="52"/>
      <c r="Q4" s="52"/>
      <c r="R4" s="52" t="s">
        <v>108</v>
      </c>
    </row>
    <row r="5" customFormat="false" ht="15" hidden="false" customHeight="false" outlineLevel="0" collapsed="false">
      <c r="A5" s="54" t="s">
        <v>86</v>
      </c>
      <c r="B5" s="55" t="s">
        <v>129</v>
      </c>
      <c r="C5" s="55" t="s">
        <v>87</v>
      </c>
      <c r="D5" s="55" t="s">
        <v>130</v>
      </c>
      <c r="E5" s="55" t="s">
        <v>131</v>
      </c>
      <c r="F5" s="54" t="s">
        <v>68</v>
      </c>
      <c r="G5" s="54" t="n">
        <v>104.9</v>
      </c>
      <c r="H5" s="54" t="n">
        <v>104</v>
      </c>
      <c r="I5" s="54" t="n">
        <v>105.1</v>
      </c>
      <c r="J5" s="54" t="n">
        <v>104.4</v>
      </c>
      <c r="K5" s="54" t="n">
        <v>104.3</v>
      </c>
      <c r="L5" s="54" t="n">
        <v>104.2</v>
      </c>
      <c r="M5" s="56" t="n">
        <f aca="false">IF(COUNT(G5:L5)=6,ROUND(SUM(G5:L5),1),"")</f>
        <v>626.9</v>
      </c>
      <c r="N5" s="54" t="s">
        <v>111</v>
      </c>
      <c r="O5" s="55" t="s">
        <v>132</v>
      </c>
      <c r="R5" s="54" t="str">
        <f aca="false">IF(COUNT(G5:L5)=6,"OK to upload","Fill all 6 series")</f>
        <v>OK to upload</v>
      </c>
    </row>
    <row r="6" customFormat="false" ht="15" hidden="false" customHeight="false" outlineLevel="0" collapsed="false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8" t="str">
        <f aca="false">IF(COUNT(G6:L6)=6,ROUND(SUM(G6:L6),1),"")</f>
        <v/>
      </c>
      <c r="N6" s="57"/>
      <c r="O6" s="57"/>
      <c r="R6" s="57" t="str">
        <f aca="false">IF(COUNT(G6:L6)=6,"OK to upload",IF(COUNT(G6:L6)=0,"","Fill all 6 series"))</f>
        <v/>
      </c>
    </row>
    <row r="7" customFormat="false" ht="15" hidden="false" customHeight="false" outlineLevel="0" collapsed="false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8" t="str">
        <f aca="false">IF(COUNT(G7:L7)=6,ROUND(SUM(G7:L7),1),"")</f>
        <v/>
      </c>
      <c r="N7" s="57"/>
      <c r="O7" s="57"/>
      <c r="R7" s="57" t="str">
        <f aca="false">IF(COUNT(G7:L7)=6,"OK to upload",IF(COUNT(G7:L7)=0,"","Fill all 6 series"))</f>
        <v/>
      </c>
    </row>
    <row r="8" customFormat="false" ht="15" hidden="false" customHeight="false" outlineLevel="0" collapsed="false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8" t="str">
        <f aca="false">IF(COUNT(G8:L8)=6,ROUND(SUM(G8:L8),1),"")</f>
        <v/>
      </c>
      <c r="N8" s="57"/>
      <c r="O8" s="57"/>
      <c r="R8" s="57" t="str">
        <f aca="false">IF(COUNT(G8:L8)=6,"OK to upload",IF(COUNT(G8:L8)=0,"","Fill all 6 series"))</f>
        <v/>
      </c>
    </row>
    <row r="9" customFormat="false" ht="15" hidden="false" customHeight="false" outlineLevel="0" collapsed="false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8" t="str">
        <f aca="false">IF(COUNT(G9:L9)=6,ROUND(SUM(G9:L9),1),"")</f>
        <v/>
      </c>
      <c r="N9" s="57"/>
      <c r="O9" s="57"/>
      <c r="R9" s="57" t="str">
        <f aca="false">IF(COUNT(G9:L9)=6,"OK to upload",IF(COUNT(G9:L9)=0,"","Fill all 6 series"))</f>
        <v/>
      </c>
    </row>
    <row r="10" customFormat="false" ht="15" hidden="false" customHeight="false" outlineLevel="0" collapsed="false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8" t="str">
        <f aca="false">IF(COUNT(G10:L10)=6,ROUND(SUM(G10:L10),1),"")</f>
        <v/>
      </c>
      <c r="N10" s="57"/>
      <c r="O10" s="57"/>
      <c r="R10" s="57" t="str">
        <f aca="false">IF(COUNT(G10:L10)=6,"OK to upload",IF(COUNT(G10:L10)=0,"","Fill all 6 series"))</f>
        <v/>
      </c>
    </row>
    <row r="11" customFormat="false" ht="15" hidden="false" customHeight="false" outlineLevel="0" collapsed="false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8" t="str">
        <f aca="false">IF(COUNT(G11:L11)=6,ROUND(SUM(G11:L11),1),"")</f>
        <v/>
      </c>
      <c r="N11" s="57"/>
      <c r="O11" s="57"/>
      <c r="R11" s="57" t="str">
        <f aca="false">IF(COUNT(G11:L11)=6,"OK to upload",IF(COUNT(G11:L11)=0,"","Fill all 6 series"))</f>
        <v/>
      </c>
    </row>
    <row r="12" customFormat="false" ht="15" hidden="false" customHeight="false" outlineLevel="0" collapsed="false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8" t="str">
        <f aca="false">IF(COUNT(G12:L12)=6,ROUND(SUM(G12:L12),1),"")</f>
        <v/>
      </c>
      <c r="N12" s="57"/>
      <c r="O12" s="57"/>
      <c r="R12" s="57" t="str">
        <f aca="false">IF(COUNT(G12:L12)=6,"OK to upload",IF(COUNT(G12:L12)=0,"","Fill all 6 series"))</f>
        <v/>
      </c>
    </row>
    <row r="13" customFormat="false" ht="15" hidden="false" customHeight="false" outlineLevel="0" collapsed="false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8" t="str">
        <f aca="false">IF(COUNT(G13:L13)=6,ROUND(SUM(G13:L13),1),"")</f>
        <v/>
      </c>
      <c r="N13" s="57"/>
      <c r="O13" s="57"/>
      <c r="R13" s="57" t="str">
        <f aca="false">IF(COUNT(G13:L13)=6,"OK to upload",IF(COUNT(G13:L13)=0,"","Fill all 6 series"))</f>
        <v/>
      </c>
    </row>
    <row r="14" customFormat="false" ht="15" hidden="false" customHeight="false" outlineLevel="0" collapsed="false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 t="str">
        <f aca="false">IF(COUNT(G14:L14)=6,ROUND(SUM(G14:L14),1),"")</f>
        <v/>
      </c>
      <c r="N14" s="57"/>
      <c r="O14" s="57"/>
      <c r="R14" s="57" t="str">
        <f aca="false">IF(COUNT(G14:L14)=6,"OK to upload",IF(COUNT(G14:L14)=0,"","Fill all 6 series"))</f>
        <v/>
      </c>
    </row>
    <row r="15" customFormat="false" ht="15" hidden="false" customHeight="false" outlineLevel="0" collapsed="false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8" t="str">
        <f aca="false">IF(COUNT(G15:L15)=6,ROUND(SUM(G15:L15),1),"")</f>
        <v/>
      </c>
      <c r="N15" s="57"/>
      <c r="O15" s="57"/>
      <c r="R15" s="57" t="str">
        <f aca="false">IF(COUNT(G15:L15)=6,"OK to upload",IF(COUNT(G15:L15)=0,"","Fill all 6 series"))</f>
        <v/>
      </c>
    </row>
    <row r="16" customFormat="false" ht="15" hidden="false" customHeight="false" outlineLevel="0" collapsed="false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8" t="str">
        <f aca="false">IF(COUNT(G16:L16)=6,ROUND(SUM(G16:L16),1),"")</f>
        <v/>
      </c>
      <c r="N16" s="57"/>
      <c r="O16" s="57"/>
      <c r="R16" s="57" t="str">
        <f aca="false">IF(COUNT(G16:L16)=6,"OK to upload",IF(COUNT(G16:L16)=0,"","Fill all 6 series"))</f>
        <v/>
      </c>
    </row>
    <row r="17" customFormat="false" ht="15" hidden="false" customHeight="false" outlineLevel="0" collapsed="false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8" t="str">
        <f aca="false">IF(COUNT(G17:L17)=6,ROUND(SUM(G17:L17),1),"")</f>
        <v/>
      </c>
      <c r="N17" s="57"/>
      <c r="O17" s="57"/>
      <c r="R17" s="57" t="str">
        <f aca="false">IF(COUNT(G17:L17)=6,"OK to upload",IF(COUNT(G17:L17)=0,"","Fill all 6 series"))</f>
        <v/>
      </c>
    </row>
    <row r="18" customFormat="false" ht="15" hidden="false" customHeight="false" outlineLevel="0" collapsed="false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8" t="str">
        <f aca="false">IF(COUNT(G18:L18)=6,ROUND(SUM(G18:L18),1),"")</f>
        <v/>
      </c>
      <c r="N18" s="57"/>
      <c r="O18" s="57"/>
      <c r="R18" s="57" t="str">
        <f aca="false">IF(COUNT(G18:L18)=6,"OK to upload",IF(COUNT(G18:L18)=0,"","Fill all 6 series"))</f>
        <v/>
      </c>
    </row>
    <row r="19" customFormat="false" ht="15" hidden="false" customHeight="false" outlineLevel="0" collapsed="false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8" t="str">
        <f aca="false">IF(COUNT(G19:L19)=6,ROUND(SUM(G19:L19),1),"")</f>
        <v/>
      </c>
      <c r="N19" s="57"/>
      <c r="O19" s="57"/>
      <c r="R19" s="57" t="str">
        <f aca="false">IF(COUNT(G19:L19)=6,"OK to upload",IF(COUNT(G19:L19)=0,"","Fill all 6 series"))</f>
        <v/>
      </c>
    </row>
    <row r="20" customFormat="false" ht="15" hidden="false" customHeight="false" outlineLevel="0" collapsed="false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8" t="str">
        <f aca="false">IF(COUNT(G20:L20)=6,ROUND(SUM(G20:L20),1),"")</f>
        <v/>
      </c>
      <c r="N20" s="57"/>
      <c r="O20" s="57"/>
      <c r="R20" s="57" t="str">
        <f aca="false">IF(COUNT(G20:L20)=6,"OK to upload",IF(COUNT(G20:L20)=0,"","Fill all 6 series"))</f>
        <v/>
      </c>
    </row>
    <row r="21" customFormat="false" ht="15" hidden="false" customHeight="false" outlineLevel="0" collapsed="false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8" t="str">
        <f aca="false">IF(COUNT(G21:L21)=6,ROUND(SUM(G21:L21),1),"")</f>
        <v/>
      </c>
      <c r="N21" s="57"/>
      <c r="O21" s="57"/>
      <c r="R21" s="57" t="str">
        <f aca="false">IF(COUNT(G21:L21)=6,"OK to upload",IF(COUNT(G21:L21)=0,"","Fill all 6 series"))</f>
        <v/>
      </c>
    </row>
    <row r="22" customFormat="false" ht="15" hidden="false" customHeight="false" outlineLevel="0" collapsed="false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8" t="str">
        <f aca="false">IF(COUNT(G22:L22)=6,ROUND(SUM(G22:L22),1),"")</f>
        <v/>
      </c>
      <c r="N22" s="57"/>
      <c r="O22" s="57"/>
      <c r="R22" s="57" t="str">
        <f aca="false">IF(COUNT(G22:L22)=6,"OK to upload",IF(COUNT(G22:L22)=0,"","Fill all 6 series"))</f>
        <v/>
      </c>
    </row>
    <row r="23" customFormat="false" ht="15" hidden="false" customHeight="false" outlineLevel="0" collapsed="false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 t="str">
        <f aca="false">IF(COUNT(G23:L23)=6,ROUND(SUM(G23:L23),1),"")</f>
        <v/>
      </c>
      <c r="N23" s="57"/>
      <c r="O23" s="57"/>
      <c r="R23" s="57" t="str">
        <f aca="false">IF(COUNT(G23:L23)=6,"OK to upload",IF(COUNT(G23:L23)=0,"","Fill all 6 series"))</f>
        <v/>
      </c>
    </row>
    <row r="24" customFormat="false" ht="15" hidden="false" customHeight="false" outlineLevel="0" collapsed="false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8" t="str">
        <f aca="false">IF(COUNT(G24:L24)=6,ROUND(SUM(G24:L24),1),"")</f>
        <v/>
      </c>
      <c r="N24" s="57"/>
      <c r="O24" s="57"/>
      <c r="R24" s="57" t="str">
        <f aca="false">IF(COUNT(G24:L24)=6,"OK to upload",IF(COUNT(G24:L24)=0,"","Fill all 6 series"))</f>
        <v/>
      </c>
    </row>
    <row r="25" customFormat="false" ht="15" hidden="false" customHeight="false" outlineLevel="0" collapsed="false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8" t="str">
        <f aca="false">IF(COUNT(G25:L25)=6,ROUND(SUM(G25:L25),1),"")</f>
        <v/>
      </c>
      <c r="N25" s="57"/>
      <c r="O25" s="57"/>
      <c r="R25" s="57" t="str">
        <f aca="false">IF(COUNT(G25:L25)=6,"OK to upload",IF(COUNT(G25:L25)=0,"","Fill all 6 series"))</f>
        <v/>
      </c>
    </row>
    <row r="26" customFormat="false" ht="15" hidden="false" customHeight="false" outlineLevel="0" collapsed="false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8" t="str">
        <f aca="false">IF(COUNT(G26:L26)=6,ROUND(SUM(G26:L26),1),"")</f>
        <v/>
      </c>
      <c r="N26" s="57"/>
      <c r="O26" s="57"/>
      <c r="R26" s="57" t="str">
        <f aca="false">IF(COUNT(G26:L26)=6,"OK to upload",IF(COUNT(G26:L26)=0,"","Fill all 6 series"))</f>
        <v/>
      </c>
    </row>
    <row r="27" customFormat="false" ht="15" hidden="false" customHeight="false" outlineLevel="0" collapsed="false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8" t="str">
        <f aca="false">IF(COUNT(G27:L27)=6,ROUND(SUM(G27:L27),1),"")</f>
        <v/>
      </c>
      <c r="N27" s="57"/>
      <c r="O27" s="57"/>
      <c r="R27" s="57" t="str">
        <f aca="false">IF(COUNT(G27:L27)=6,"OK to upload",IF(COUNT(G27:L27)=0,"","Fill all 6 series"))</f>
        <v/>
      </c>
    </row>
    <row r="28" customFormat="false" ht="15" hidden="false" customHeight="false" outlineLevel="0" collapsed="false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 t="str">
        <f aca="false">IF(COUNT(G28:L28)=6,ROUND(SUM(G28:L28),1),"")</f>
        <v/>
      </c>
      <c r="N28" s="57"/>
      <c r="O28" s="57"/>
      <c r="R28" s="57" t="str">
        <f aca="false">IF(COUNT(G28:L28)=6,"OK to upload",IF(COUNT(G28:L28)=0,"","Fill all 6 series"))</f>
        <v/>
      </c>
    </row>
    <row r="29" customFormat="false" ht="15" hidden="false" customHeight="false" outlineLevel="0" collapsed="false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8" t="str">
        <f aca="false">IF(COUNT(G29:L29)=6,ROUND(SUM(G29:L29),1),"")</f>
        <v/>
      </c>
      <c r="N29" s="57"/>
      <c r="O29" s="57"/>
      <c r="R29" s="57" t="str">
        <f aca="false">IF(COUNT(G29:L29)=6,"OK to upload",IF(COUNT(G29:L29)=0,"","Fill all 6 series"))</f>
        <v/>
      </c>
    </row>
    <row r="30" customFormat="false" ht="15" hidden="false" customHeight="false" outlineLevel="0" collapsed="false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 t="str">
        <f aca="false">IF(COUNT(G30:L30)=6,ROUND(SUM(G30:L30),1),"")</f>
        <v/>
      </c>
      <c r="N30" s="57"/>
      <c r="O30" s="57"/>
      <c r="R30" s="57" t="str">
        <f aca="false">IF(COUNT(G30:L30)=6,"OK to upload",IF(COUNT(G30:L30)=0,"","Fill all 6 series"))</f>
        <v/>
      </c>
    </row>
    <row r="31" customFormat="false" ht="15" hidden="false" customHeight="false" outlineLevel="0" collapsed="false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 t="str">
        <f aca="false">IF(COUNT(G31:L31)=6,ROUND(SUM(G31:L31),1),"")</f>
        <v/>
      </c>
      <c r="N31" s="57"/>
      <c r="O31" s="57"/>
      <c r="R31" s="57" t="str">
        <f aca="false">IF(COUNT(G31:L31)=6,"OK to upload",IF(COUNT(G31:L31)=0,"","Fill all 6 series"))</f>
        <v/>
      </c>
    </row>
    <row r="32" customFormat="false" ht="15" hidden="false" customHeight="false" outlineLevel="0" collapsed="false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 t="str">
        <f aca="false">IF(COUNT(G32:L32)=6,ROUND(SUM(G32:L32),1),"")</f>
        <v/>
      </c>
      <c r="N32" s="57"/>
      <c r="O32" s="57"/>
      <c r="R32" s="57" t="str">
        <f aca="false">IF(COUNT(G32:L32)=6,"OK to upload",IF(COUNT(G32:L32)=0,"","Fill all 6 series"))</f>
        <v/>
      </c>
    </row>
    <row r="33" customFormat="false" ht="15" hidden="false" customHeight="false" outlineLevel="0" collapsed="false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 t="str">
        <f aca="false">IF(COUNT(G33:L33)=6,ROUND(SUM(G33:L33),1),"")</f>
        <v/>
      </c>
      <c r="N33" s="57"/>
      <c r="O33" s="57"/>
      <c r="R33" s="57" t="str">
        <f aca="false">IF(COUNT(G33:L33)=6,"OK to upload",IF(COUNT(G33:L33)=0,"","Fill all 6 series"))</f>
        <v/>
      </c>
    </row>
    <row r="34" customFormat="false" ht="15" hidden="false" customHeight="false" outlineLevel="0" collapsed="false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8" t="str">
        <f aca="false">IF(COUNT(G34:L34)=6,ROUND(SUM(G34:L34),1),"")</f>
        <v/>
      </c>
      <c r="N34" s="57"/>
      <c r="O34" s="57"/>
      <c r="R34" s="57" t="str">
        <f aca="false">IF(COUNT(G34:L34)=6,"OK to upload",IF(COUNT(G34:L34)=0,"","Fill all 6 series"))</f>
        <v/>
      </c>
    </row>
    <row r="35" customFormat="false" ht="15" hidden="false" customHeight="false" outlineLevel="0" collapsed="false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8" t="str">
        <f aca="false">IF(COUNT(G35:L35)=6,ROUND(SUM(G35:L35),1),"")</f>
        <v/>
      </c>
      <c r="N35" s="57"/>
      <c r="O35" s="57"/>
      <c r="R35" s="57" t="str">
        <f aca="false">IF(COUNT(G35:L35)=6,"OK to upload",IF(COUNT(G35:L35)=0,"","Fill all 6 series"))</f>
        <v/>
      </c>
    </row>
    <row r="36" customFormat="false" ht="15" hidden="false" customHeight="false" outlineLevel="0" collapsed="false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8" t="str">
        <f aca="false">IF(COUNT(G36:L36)=6,ROUND(SUM(G36:L36),1),"")</f>
        <v/>
      </c>
      <c r="N36" s="57"/>
      <c r="O36" s="57"/>
      <c r="R36" s="57" t="str">
        <f aca="false">IF(COUNT(G36:L36)=6,"OK to upload",IF(COUNT(G36:L36)=0,"","Fill all 6 series"))</f>
        <v/>
      </c>
    </row>
    <row r="37" customFormat="false" ht="15" hidden="false" customHeight="false" outlineLevel="0" collapsed="false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8" t="str">
        <f aca="false">IF(COUNT(G37:L37)=6,ROUND(SUM(G37:L37),1),"")</f>
        <v/>
      </c>
      <c r="N37" s="57"/>
      <c r="O37" s="57"/>
      <c r="R37" s="57" t="str">
        <f aca="false">IF(COUNT(G37:L37)=6,"OK to upload",IF(COUNT(G37:L37)=0,"","Fill all 6 series"))</f>
        <v/>
      </c>
    </row>
    <row r="38" customFormat="false" ht="15" hidden="false" customHeight="false" outlineLevel="0" collapsed="false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 t="str">
        <f aca="false">IF(COUNT(G38:L38)=6,ROUND(SUM(G38:L38),1),"")</f>
        <v/>
      </c>
      <c r="N38" s="57"/>
      <c r="O38" s="57"/>
      <c r="R38" s="57" t="str">
        <f aca="false">IF(COUNT(G38:L38)=6,"OK to upload",IF(COUNT(G38:L38)=0,"","Fill all 6 series"))</f>
        <v/>
      </c>
    </row>
    <row r="39" customFormat="false" ht="15" hidden="false" customHeight="false" outlineLevel="0" collapsed="false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 t="str">
        <f aca="false">IF(COUNT(G39:L39)=6,ROUND(SUM(G39:L39),1),"")</f>
        <v/>
      </c>
      <c r="N39" s="57"/>
      <c r="O39" s="57"/>
      <c r="R39" s="57" t="str">
        <f aca="false">IF(COUNT(G39:L39)=6,"OK to upload",IF(COUNT(G39:L39)=0,"","Fill all 6 series"))</f>
        <v/>
      </c>
    </row>
    <row r="40" customFormat="false" ht="15" hidden="false" customHeight="false" outlineLevel="0" collapsed="false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8" t="str">
        <f aca="false">IF(COUNT(G40:L40)=6,ROUND(SUM(G40:L40),1),"")</f>
        <v/>
      </c>
      <c r="N40" s="57"/>
      <c r="O40" s="57"/>
      <c r="R40" s="57" t="str">
        <f aca="false">IF(COUNT(G40:L40)=6,"OK to upload",IF(COUNT(G40:L40)=0,"","Fill all 6 series"))</f>
        <v/>
      </c>
    </row>
    <row r="41" customFormat="false" ht="15" hidden="false" customHeight="false" outlineLevel="0" collapsed="false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 t="str">
        <f aca="false">IF(COUNT(G41:L41)=6,ROUND(SUM(G41:L41),1),"")</f>
        <v/>
      </c>
      <c r="N41" s="57"/>
      <c r="O41" s="57"/>
      <c r="R41" s="57" t="str">
        <f aca="false">IF(COUNT(G41:L41)=6,"OK to upload",IF(COUNT(G41:L41)=0,"","Fill all 6 series"))</f>
        <v/>
      </c>
    </row>
    <row r="42" customFormat="false" ht="15" hidden="false" customHeight="false" outlineLevel="0" collapsed="false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8" t="str">
        <f aca="false">IF(COUNT(G42:L42)=6,ROUND(SUM(G42:L42),1),"")</f>
        <v/>
      </c>
      <c r="N42" s="57"/>
      <c r="O42" s="57"/>
      <c r="R42" s="57" t="str">
        <f aca="false">IF(COUNT(G42:L42)=6,"OK to upload",IF(COUNT(G42:L42)=0,"","Fill all 6 series"))</f>
        <v/>
      </c>
    </row>
    <row r="43" customFormat="false" ht="15" hidden="false" customHeight="false" outlineLevel="0" collapsed="false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8" t="str">
        <f aca="false">IF(COUNT(G43:L43)=6,ROUND(SUM(G43:L43),1),"")</f>
        <v/>
      </c>
      <c r="N43" s="57"/>
      <c r="O43" s="57"/>
      <c r="R43" s="57" t="str">
        <f aca="false">IF(COUNT(G43:L43)=6,"OK to upload",IF(COUNT(G43:L43)=0,"","Fill all 6 series"))</f>
        <v/>
      </c>
    </row>
    <row r="44" customFormat="false" ht="15" hidden="false" customHeight="false" outlineLevel="0" collapsed="false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8" t="str">
        <f aca="false">IF(COUNT(G44:L44)=6,ROUND(SUM(G44:L44),1),"")</f>
        <v/>
      </c>
      <c r="N44" s="57"/>
      <c r="O44" s="57"/>
      <c r="R44" s="57" t="str">
        <f aca="false">IF(COUNT(G44:L44)=6,"OK to upload",IF(COUNT(G44:L44)=0,"","Fill all 6 series"))</f>
        <v/>
      </c>
    </row>
    <row r="45" customFormat="false" ht="15" hidden="false" customHeight="false" outlineLevel="0" collapsed="false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8" t="str">
        <f aca="false">IF(COUNT(G45:L45)=6,ROUND(SUM(G45:L45),1),"")</f>
        <v/>
      </c>
      <c r="N45" s="57"/>
      <c r="O45" s="57"/>
      <c r="R45" s="57" t="str">
        <f aca="false">IF(COUNT(G45:L45)=6,"OK to upload",IF(COUNT(G45:L45)=0,"","Fill all 6 series"))</f>
        <v/>
      </c>
    </row>
    <row r="46" customFormat="false" ht="15" hidden="false" customHeight="false" outlineLevel="0" collapsed="false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8" t="str">
        <f aca="false">IF(COUNT(G46:L46)=6,ROUND(SUM(G46:L46),1),"")</f>
        <v/>
      </c>
      <c r="N46" s="57"/>
      <c r="O46" s="57"/>
      <c r="R46" s="57" t="str">
        <f aca="false">IF(COUNT(G46:L46)=6,"OK to upload",IF(COUNT(G46:L46)=0,"","Fill all 6 series"))</f>
        <v/>
      </c>
    </row>
    <row r="47" customFormat="false" ht="15" hidden="false" customHeight="false" outlineLevel="0" collapsed="false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8" t="str">
        <f aca="false">IF(COUNT(G47:L47)=6,ROUND(SUM(G47:L47),1),"")</f>
        <v/>
      </c>
      <c r="N47" s="57"/>
      <c r="O47" s="57"/>
      <c r="R47" s="57" t="str">
        <f aca="false">IF(COUNT(G47:L47)=6,"OK to upload",IF(COUNT(G47:L47)=0,"","Fill all 6 series"))</f>
        <v/>
      </c>
    </row>
    <row r="48" customFormat="false" ht="15" hidden="false" customHeight="false" outlineLevel="0" collapsed="false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8" t="str">
        <f aca="false">IF(COUNT(G48:L48)=6,ROUND(SUM(G48:L48),1),"")</f>
        <v/>
      </c>
      <c r="N48" s="57"/>
      <c r="O48" s="57"/>
      <c r="R48" s="57" t="str">
        <f aca="false">IF(COUNT(G48:L48)=6,"OK to upload",IF(COUNT(G48:L48)=0,"","Fill all 6 series"))</f>
        <v/>
      </c>
    </row>
    <row r="49" customFormat="false" ht="15" hidden="false" customHeight="false" outlineLevel="0" collapsed="false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8" t="str">
        <f aca="false">IF(COUNT(G49:L49)=6,ROUND(SUM(G49:L49),1),"")</f>
        <v/>
      </c>
      <c r="N49" s="57"/>
      <c r="O49" s="57"/>
      <c r="R49" s="57" t="str">
        <f aca="false">IF(COUNT(G49:L49)=6,"OK to upload",IF(COUNT(G49:L49)=0,"","Fill all 6 series"))</f>
        <v/>
      </c>
    </row>
    <row r="50" customFormat="false" ht="15" hidden="false" customHeight="false" outlineLevel="0" collapsed="false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8" t="str">
        <f aca="false">IF(COUNT(G50:L50)=6,ROUND(SUM(G50:L50),1),"")</f>
        <v/>
      </c>
      <c r="N50" s="57"/>
      <c r="O50" s="57"/>
      <c r="R50" s="57" t="str">
        <f aca="false">IF(COUNT(G50:L50)=6,"OK to upload",IF(COUNT(G50:L50)=0,"","Fill all 6 series"))</f>
        <v/>
      </c>
    </row>
    <row r="51" customFormat="false" ht="15" hidden="false" customHeight="false" outlineLevel="0" collapsed="false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8" t="str">
        <f aca="false">IF(COUNT(G51:L51)=6,ROUND(SUM(G51:L51),1),"")</f>
        <v/>
      </c>
      <c r="N51" s="57"/>
      <c r="O51" s="57"/>
      <c r="R51" s="57" t="str">
        <f aca="false">IF(COUNT(G51:L51)=6,"OK to upload",IF(COUNT(G51:L51)=0,"","Fill all 6 series"))</f>
        <v/>
      </c>
    </row>
    <row r="52" customFormat="false" ht="15" hidden="false" customHeight="false" outlineLevel="0" collapsed="false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8" t="str">
        <f aca="false">IF(COUNT(G52:L52)=6,ROUND(SUM(G52:L52),1),"")</f>
        <v/>
      </c>
      <c r="N52" s="57"/>
      <c r="O52" s="57"/>
      <c r="R52" s="57" t="str">
        <f aca="false">IF(COUNT(G52:L52)=6,"OK to upload",IF(COUNT(G52:L52)=0,"","Fill all 6 series"))</f>
        <v/>
      </c>
    </row>
    <row r="53" customFormat="false" ht="15" hidden="false" customHeight="false" outlineLevel="0" collapsed="false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8" t="str">
        <f aca="false">IF(COUNT(G53:L53)=6,ROUND(SUM(G53:L53),1),"")</f>
        <v/>
      </c>
      <c r="N53" s="57"/>
      <c r="O53" s="57"/>
      <c r="R53" s="57" t="str">
        <f aca="false">IF(COUNT(G53:L53)=6,"OK to upload",IF(COUNT(G53:L53)=0,"","Fill all 6 series"))</f>
        <v/>
      </c>
    </row>
    <row r="54" customFormat="false" ht="15" hidden="false" customHeight="false" outlineLevel="0" collapsed="false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8" t="str">
        <f aca="false">IF(COUNT(G54:L54)=6,ROUND(SUM(G54:L54),1),"")</f>
        <v/>
      </c>
      <c r="N54" s="57"/>
      <c r="O54" s="57"/>
      <c r="R54" s="57" t="str">
        <f aca="false">IF(COUNT(G54:L54)=6,"OK to upload",IF(COUNT(G54:L54)=0,"","Fill all 6 series"))</f>
        <v/>
      </c>
    </row>
    <row r="55" customFormat="false" ht="15" hidden="false" customHeight="false" outlineLevel="0" collapsed="false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8" t="str">
        <f aca="false">IF(COUNT(G55:L55)=6,ROUND(SUM(G55:L55),1),"")</f>
        <v/>
      </c>
      <c r="N55" s="57"/>
      <c r="O55" s="57"/>
      <c r="R55" s="57" t="str">
        <f aca="false">IF(COUNT(G55:L55)=6,"OK to upload",IF(COUNT(G55:L55)=0,"","Fill all 6 series"))</f>
        <v/>
      </c>
    </row>
    <row r="56" customFormat="false" ht="15" hidden="false" customHeight="false" outlineLevel="0" collapsed="false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8" t="str">
        <f aca="false">IF(COUNT(G56:L56)=6,ROUND(SUM(G56:L56),1),"")</f>
        <v/>
      </c>
      <c r="N56" s="57"/>
      <c r="O56" s="57"/>
      <c r="R56" s="57" t="str">
        <f aca="false">IF(COUNT(G56:L56)=6,"OK to upload",IF(COUNT(G56:L56)=0,"","Fill all 6 series"))</f>
        <v/>
      </c>
    </row>
    <row r="57" customFormat="false" ht="15" hidden="false" customHeight="false" outlineLevel="0" collapsed="false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8" t="str">
        <f aca="false">IF(COUNT(G57:L57)=6,ROUND(SUM(G57:L57),1),"")</f>
        <v/>
      </c>
      <c r="N57" s="57"/>
      <c r="O57" s="57"/>
      <c r="R57" s="57" t="str">
        <f aca="false">IF(COUNT(G57:L57)=6,"OK to upload",IF(COUNT(G57:L57)=0,"","Fill all 6 series"))</f>
        <v/>
      </c>
    </row>
    <row r="58" customFormat="false" ht="15" hidden="false" customHeight="false" outlineLevel="0" collapsed="false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8" t="str">
        <f aca="false">IF(COUNT(G58:L58)=6,ROUND(SUM(G58:L58),1),"")</f>
        <v/>
      </c>
      <c r="N58" s="57"/>
      <c r="O58" s="57"/>
      <c r="R58" s="57" t="str">
        <f aca="false">IF(COUNT(G58:L58)=6,"OK to upload",IF(COUNT(G58:L58)=0,"","Fill all 6 series"))</f>
        <v/>
      </c>
    </row>
    <row r="59" customFormat="false" ht="15" hidden="false" customHeight="false" outlineLevel="0" collapsed="false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8" t="str">
        <f aca="false">IF(COUNT(G59:L59)=6,ROUND(SUM(G59:L59),1),"")</f>
        <v/>
      </c>
      <c r="N59" s="57"/>
      <c r="O59" s="57"/>
      <c r="R59" s="57" t="str">
        <f aca="false">IF(COUNT(G59:L59)=6,"OK to upload",IF(COUNT(G59:L59)=0,"","Fill all 6 series"))</f>
        <v/>
      </c>
    </row>
    <row r="60" customFormat="false" ht="15" hidden="false" customHeight="false" outlineLevel="0" collapsed="false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8" t="str">
        <f aca="false">IF(COUNT(G60:L60)=6,ROUND(SUM(G60:L60),1),"")</f>
        <v/>
      </c>
      <c r="N60" s="57"/>
      <c r="O60" s="57"/>
      <c r="R60" s="57" t="str">
        <f aca="false">IF(COUNT(G60:L60)=6,"OK to upload",IF(COUNT(G60:L60)=0,"","Fill all 6 series"))</f>
        <v/>
      </c>
    </row>
  </sheetData>
  <mergeCells count="2">
    <mergeCell ref="A1:R1"/>
    <mergeCell ref="A2:R2"/>
  </mergeCells>
  <dataValidations count="4">
    <dataValidation allowBlank="true" errorStyle="stop" operator="between" showDropDown="false" showErrorMessage="false" showInputMessage="false" sqref="G5:L60" type="decimal">
      <formula1>0</formula1>
      <formula2>109</formula2>
    </dataValidation>
    <dataValidation allowBlank="false" errorStyle="stop" operator="between" showDropDown="false" showErrorMessage="false" showInputMessage="false" sqref="C5:C60" type="list">
      <formula1>"three_position_50m"</formula1>
      <formula2>0</formula2>
    </dataValidation>
    <dataValidation allowBlank="false" errorStyle="stop" operator="between" showDropDown="false" showErrorMessage="false" showInputMessage="false" sqref="F5:F60" type="list">
      <formula1>"open,junior,veteran,ladies"</formula1>
      <formula2>0</formula2>
    </dataValidation>
    <dataValidation allowBlank="false" errorStyle="stop" operator="between" showDropDown="false" showErrorMessage="false" showInputMessage="false" sqref="N5:N60" type="list">
      <formula1>"official,provisional"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17" min="7" style="0" width="8"/>
    <col collapsed="false" customWidth="true" hidden="false" outlineLevel="0" max="20" min="18" style="0" width="11"/>
    <col collapsed="false" customWidth="true" hidden="false" outlineLevel="0" max="21" min="21" style="0" width="44"/>
  </cols>
  <sheetData>
    <row r="1" customFormat="false" ht="16.15" hidden="false" customHeight="false" outlineLevel="0" collapsed="false">
      <c r="A1" s="50" t="s">
        <v>133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customFormat="false" ht="15" hidden="false" customHeight="false" outlineLevel="0" collapsed="false">
      <c r="A2" s="51" t="s">
        <v>134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4" customFormat="false" ht="15" hidden="false" customHeight="false" outlineLevel="0" collapsed="false">
      <c r="A4" s="52" t="s">
        <v>73</v>
      </c>
      <c r="B4" s="52" t="s">
        <v>9</v>
      </c>
      <c r="C4" s="52" t="s">
        <v>55</v>
      </c>
      <c r="D4" s="52" t="s">
        <v>92</v>
      </c>
      <c r="E4" s="52" t="s">
        <v>93</v>
      </c>
      <c r="F4" s="52" t="s">
        <v>65</v>
      </c>
      <c r="G4" s="52" t="s">
        <v>123</v>
      </c>
      <c r="H4" s="52" t="s">
        <v>124</v>
      </c>
      <c r="I4" s="52" t="s">
        <v>125</v>
      </c>
      <c r="J4" s="52" t="s">
        <v>126</v>
      </c>
      <c r="K4" s="52" t="s">
        <v>135</v>
      </c>
      <c r="L4" s="52" t="s">
        <v>136</v>
      </c>
      <c r="M4" s="52" t="s">
        <v>137</v>
      </c>
      <c r="N4" s="52" t="s">
        <v>138</v>
      </c>
      <c r="O4" s="52" t="s">
        <v>139</v>
      </c>
      <c r="P4" s="52" t="s">
        <v>140</v>
      </c>
      <c r="Q4" s="52" t="s">
        <v>141</v>
      </c>
      <c r="R4" s="53" t="s">
        <v>106</v>
      </c>
      <c r="S4" s="53" t="s">
        <v>142</v>
      </c>
      <c r="T4" s="52" t="s">
        <v>23</v>
      </c>
      <c r="U4" s="52" t="s">
        <v>77</v>
      </c>
    </row>
    <row r="5" customFormat="false" ht="23.85" hidden="false" customHeight="false" outlineLevel="0" collapsed="false">
      <c r="A5" s="54" t="s">
        <v>84</v>
      </c>
      <c r="B5" s="54" t="s">
        <v>86</v>
      </c>
      <c r="C5" s="55" t="s">
        <v>87</v>
      </c>
      <c r="D5" s="55" t="s">
        <v>130</v>
      </c>
      <c r="E5" s="55" t="s">
        <v>131</v>
      </c>
      <c r="F5" s="54" t="s">
        <v>68</v>
      </c>
      <c r="G5" s="54" t="n">
        <v>51.1</v>
      </c>
      <c r="H5" s="54" t="n">
        <v>50.5</v>
      </c>
      <c r="I5" s="54" t="n">
        <v>51.8</v>
      </c>
      <c r="J5" s="54" t="n">
        <v>52.7</v>
      </c>
      <c r="K5" s="54" t="n">
        <v>51.1</v>
      </c>
      <c r="L5" s="54" t="n">
        <v>51.8</v>
      </c>
      <c r="M5" s="54" t="n">
        <v>10.1</v>
      </c>
      <c r="N5" s="54" t="n">
        <v>10.8</v>
      </c>
      <c r="O5" s="54" t="n">
        <v>10.3</v>
      </c>
      <c r="P5" s="54" t="n">
        <v>10</v>
      </c>
      <c r="Q5" s="54" t="n">
        <v>9.8</v>
      </c>
      <c r="R5" s="56" t="n">
        <f aca="false">ROUND(SUM(G5:Q5),1)</f>
        <v>360</v>
      </c>
      <c r="S5" s="54" t="n">
        <v>1</v>
      </c>
      <c r="T5" s="54" t="s">
        <v>111</v>
      </c>
      <c r="U5" s="55" t="s">
        <v>143</v>
      </c>
    </row>
    <row r="6" customFormat="false" ht="15" hidden="false" customHeight="false" outlineLevel="0" collapsed="false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8" t="str">
        <f aca="false">IF(COUNT(G6:Q6)&gt;0,ROUND(SUM(G6:Q6),1),"")</f>
        <v/>
      </c>
      <c r="S6" s="57"/>
      <c r="T6" s="57"/>
      <c r="U6" s="57"/>
    </row>
    <row r="7" customFormat="false" ht="15" hidden="false" customHeight="false" outlineLevel="0" collapsed="false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8" t="str">
        <f aca="false">IF(COUNT(G7:Q7)&gt;0,ROUND(SUM(G7:Q7),1),"")</f>
        <v/>
      </c>
      <c r="S7" s="57"/>
      <c r="T7" s="57"/>
      <c r="U7" s="57"/>
    </row>
    <row r="8" customFormat="false" ht="15" hidden="false" customHeight="false" outlineLevel="0" collapsed="false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8" t="str">
        <f aca="false">IF(COUNT(G8:Q8)&gt;0,ROUND(SUM(G8:Q8),1),"")</f>
        <v/>
      </c>
      <c r="S8" s="57"/>
      <c r="T8" s="57"/>
      <c r="U8" s="57"/>
    </row>
    <row r="9" customFormat="false" ht="15" hidden="false" customHeight="false" outlineLevel="0" collapsed="false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8" t="str">
        <f aca="false">IF(COUNT(G9:Q9)&gt;0,ROUND(SUM(G9:Q9),1),"")</f>
        <v/>
      </c>
      <c r="S9" s="57"/>
      <c r="T9" s="57"/>
      <c r="U9" s="57"/>
    </row>
    <row r="10" customFormat="false" ht="15" hidden="false" customHeight="false" outlineLevel="0" collapsed="false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8" t="str">
        <f aca="false">IF(COUNT(G10:Q10)&gt;0,ROUND(SUM(G10:Q10),1),"")</f>
        <v/>
      </c>
      <c r="S10" s="57"/>
      <c r="T10" s="57"/>
      <c r="U10" s="57"/>
    </row>
    <row r="11" customFormat="false" ht="15" hidden="false" customHeight="false" outlineLevel="0" collapsed="false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8" t="str">
        <f aca="false">IF(COUNT(G11:Q11)&gt;0,ROUND(SUM(G11:Q11),1),"")</f>
        <v/>
      </c>
      <c r="S11" s="57"/>
      <c r="T11" s="57"/>
      <c r="U11" s="57"/>
    </row>
    <row r="12" customFormat="false" ht="15" hidden="false" customHeight="false" outlineLevel="0" collapsed="false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8" t="str">
        <f aca="false">IF(COUNT(G12:Q12)&gt;0,ROUND(SUM(G12:Q12),1),"")</f>
        <v/>
      </c>
      <c r="S12" s="57"/>
      <c r="T12" s="57"/>
      <c r="U12" s="57"/>
    </row>
    <row r="13" customFormat="false" ht="15" hidden="false" customHeight="false" outlineLevel="0" collapsed="false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8" t="str">
        <f aca="false">IF(COUNT(G13:Q13)&gt;0,ROUND(SUM(G13:Q13),1),"")</f>
        <v/>
      </c>
      <c r="S13" s="57"/>
      <c r="T13" s="57"/>
      <c r="U13" s="57"/>
    </row>
    <row r="14" customFormat="false" ht="15" hidden="false" customHeight="false" outlineLevel="0" collapsed="false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8" t="str">
        <f aca="false">IF(COUNT(G14:Q14)&gt;0,ROUND(SUM(G14:Q14),1),"")</f>
        <v/>
      </c>
      <c r="S14" s="57"/>
      <c r="T14" s="57"/>
      <c r="U14" s="57"/>
    </row>
    <row r="15" customFormat="false" ht="15" hidden="false" customHeight="false" outlineLevel="0" collapsed="false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8" t="str">
        <f aca="false">IF(COUNT(G15:Q15)&gt;0,ROUND(SUM(G15:Q15),1),"")</f>
        <v/>
      </c>
      <c r="S15" s="57"/>
      <c r="T15" s="57"/>
      <c r="U15" s="57"/>
    </row>
    <row r="16" customFormat="false" ht="15" hidden="false" customHeight="false" outlineLevel="0" collapsed="false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8" t="str">
        <f aca="false">IF(COUNT(G16:Q16)&gt;0,ROUND(SUM(G16:Q16),1),"")</f>
        <v/>
      </c>
      <c r="S16" s="57"/>
      <c r="T16" s="57"/>
      <c r="U16" s="57"/>
    </row>
    <row r="17" customFormat="false" ht="15" hidden="false" customHeight="false" outlineLevel="0" collapsed="false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8" t="str">
        <f aca="false">IF(COUNT(G17:Q17)&gt;0,ROUND(SUM(G17:Q17),1),"")</f>
        <v/>
      </c>
      <c r="S17" s="57"/>
      <c r="T17" s="57"/>
      <c r="U17" s="57"/>
    </row>
    <row r="18" customFormat="false" ht="15" hidden="false" customHeight="false" outlineLevel="0" collapsed="false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8" t="str">
        <f aca="false">IF(COUNT(G18:Q18)&gt;0,ROUND(SUM(G18:Q18),1),"")</f>
        <v/>
      </c>
      <c r="S18" s="57"/>
      <c r="T18" s="57"/>
      <c r="U18" s="57"/>
    </row>
    <row r="19" customFormat="false" ht="15" hidden="false" customHeight="false" outlineLevel="0" collapsed="false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8" t="str">
        <f aca="false">IF(COUNT(G19:Q19)&gt;0,ROUND(SUM(G19:Q19),1),"")</f>
        <v/>
      </c>
      <c r="S19" s="57"/>
      <c r="T19" s="57"/>
      <c r="U19" s="57"/>
    </row>
    <row r="20" customFormat="false" ht="15" hidden="false" customHeight="false" outlineLevel="0" collapsed="false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8" t="str">
        <f aca="false">IF(COUNT(G20:Q20)&gt;0,ROUND(SUM(G20:Q20),1),"")</f>
        <v/>
      </c>
      <c r="S20" s="57"/>
      <c r="T20" s="57"/>
      <c r="U20" s="57"/>
    </row>
    <row r="21" customFormat="false" ht="15" hidden="false" customHeight="false" outlineLevel="0" collapsed="false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8" t="str">
        <f aca="false">IF(COUNT(G21:Q21)&gt;0,ROUND(SUM(G21:Q21),1),"")</f>
        <v/>
      </c>
      <c r="S21" s="57"/>
      <c r="T21" s="57"/>
      <c r="U21" s="57"/>
    </row>
    <row r="22" customFormat="false" ht="15" hidden="false" customHeight="false" outlineLevel="0" collapsed="false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8" t="str">
        <f aca="false">IF(COUNT(G22:Q22)&gt;0,ROUND(SUM(G22:Q22),1),"")</f>
        <v/>
      </c>
      <c r="S22" s="57"/>
      <c r="T22" s="57"/>
      <c r="U22" s="57"/>
    </row>
    <row r="23" customFormat="false" ht="15" hidden="false" customHeight="false" outlineLevel="0" collapsed="false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8" t="str">
        <f aca="false">IF(COUNT(G23:Q23)&gt;0,ROUND(SUM(G23:Q23),1),"")</f>
        <v/>
      </c>
      <c r="S23" s="57"/>
      <c r="T23" s="57"/>
      <c r="U23" s="57"/>
    </row>
    <row r="24" customFormat="false" ht="15" hidden="false" customHeight="false" outlineLevel="0" collapsed="false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8" t="str">
        <f aca="false">IF(COUNT(G24:Q24)&gt;0,ROUND(SUM(G24:Q24),1),"")</f>
        <v/>
      </c>
      <c r="S24" s="57"/>
      <c r="T24" s="57"/>
      <c r="U24" s="57"/>
    </row>
    <row r="25" customFormat="false" ht="15" hidden="false" customHeight="false" outlineLevel="0" collapsed="false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8" t="str">
        <f aca="false">IF(COUNT(G25:Q25)&gt;0,ROUND(SUM(G25:Q25),1),"")</f>
        <v/>
      </c>
      <c r="S25" s="57"/>
      <c r="T25" s="57"/>
      <c r="U25" s="57"/>
    </row>
    <row r="26" customFormat="false" ht="15" hidden="false" customHeight="false" outlineLevel="0" collapsed="false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8" t="str">
        <f aca="false">IF(COUNT(G26:Q26)&gt;0,ROUND(SUM(G26:Q26),1),"")</f>
        <v/>
      </c>
      <c r="S26" s="57"/>
      <c r="T26" s="57"/>
      <c r="U26" s="57"/>
    </row>
    <row r="27" customFormat="false" ht="15" hidden="false" customHeight="false" outlineLevel="0" collapsed="false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8" t="str">
        <f aca="false">IF(COUNT(G27:Q27)&gt;0,ROUND(SUM(G27:Q27),1),"")</f>
        <v/>
      </c>
      <c r="S27" s="57"/>
      <c r="T27" s="57"/>
      <c r="U27" s="57"/>
    </row>
    <row r="28" customFormat="false" ht="15" hidden="false" customHeight="false" outlineLevel="0" collapsed="false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8" t="str">
        <f aca="false">IF(COUNT(G28:Q28)&gt;0,ROUND(SUM(G28:Q28),1),"")</f>
        <v/>
      </c>
      <c r="S28" s="57"/>
      <c r="T28" s="57"/>
      <c r="U28" s="57"/>
    </row>
    <row r="29" customFormat="false" ht="15" hidden="false" customHeight="false" outlineLevel="0" collapsed="false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8" t="str">
        <f aca="false">IF(COUNT(G29:Q29)&gt;0,ROUND(SUM(G29:Q29),1),"")</f>
        <v/>
      </c>
      <c r="S29" s="57"/>
      <c r="T29" s="57"/>
      <c r="U29" s="57"/>
    </row>
    <row r="30" customFormat="false" ht="15" hidden="false" customHeight="false" outlineLevel="0" collapsed="false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8" t="str">
        <f aca="false">IF(COUNT(G30:Q30)&gt;0,ROUND(SUM(G30:Q30),1),"")</f>
        <v/>
      </c>
      <c r="S30" s="57"/>
      <c r="T30" s="57"/>
      <c r="U30" s="57"/>
    </row>
    <row r="31" customFormat="false" ht="15" hidden="false" customHeight="false" outlineLevel="0" collapsed="false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8" t="str">
        <f aca="false">IF(COUNT(G31:Q31)&gt;0,ROUND(SUM(G31:Q31),1),"")</f>
        <v/>
      </c>
      <c r="S31" s="57"/>
      <c r="T31" s="57"/>
      <c r="U31" s="57"/>
    </row>
    <row r="32" customFormat="false" ht="15" hidden="false" customHeight="false" outlineLevel="0" collapsed="false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8" t="str">
        <f aca="false">IF(COUNT(G32:Q32)&gt;0,ROUND(SUM(G32:Q32),1),"")</f>
        <v/>
      </c>
      <c r="S32" s="57"/>
      <c r="T32" s="57"/>
      <c r="U32" s="57"/>
    </row>
    <row r="33" customFormat="false" ht="15" hidden="false" customHeight="false" outlineLevel="0" collapsed="false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8" t="str">
        <f aca="false">IF(COUNT(G33:Q33)&gt;0,ROUND(SUM(G33:Q33),1),"")</f>
        <v/>
      </c>
      <c r="S33" s="57"/>
      <c r="T33" s="57"/>
      <c r="U33" s="57"/>
    </row>
    <row r="34" customFormat="false" ht="15" hidden="false" customHeight="false" outlineLevel="0" collapsed="false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8" t="str">
        <f aca="false">IF(COUNT(G34:Q34)&gt;0,ROUND(SUM(G34:Q34),1),"")</f>
        <v/>
      </c>
      <c r="S34" s="57"/>
      <c r="T34" s="57"/>
      <c r="U34" s="57"/>
    </row>
    <row r="35" customFormat="false" ht="15" hidden="false" customHeight="false" outlineLevel="0" collapsed="false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8" t="str">
        <f aca="false">IF(COUNT(G35:Q35)&gt;0,ROUND(SUM(G35:Q35),1),"")</f>
        <v/>
      </c>
      <c r="S35" s="57"/>
      <c r="T35" s="57"/>
      <c r="U35" s="57"/>
    </row>
    <row r="36" customFormat="false" ht="15" hidden="false" customHeight="false" outlineLevel="0" collapsed="false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8" t="str">
        <f aca="false">IF(COUNT(G36:Q36)&gt;0,ROUND(SUM(G36:Q36),1),"")</f>
        <v/>
      </c>
      <c r="S36" s="57"/>
      <c r="T36" s="57"/>
      <c r="U36" s="57"/>
    </row>
    <row r="37" customFormat="false" ht="15" hidden="false" customHeight="false" outlineLevel="0" collapsed="false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8" t="str">
        <f aca="false">IF(COUNT(G37:Q37)&gt;0,ROUND(SUM(G37:Q37),1),"")</f>
        <v/>
      </c>
      <c r="S37" s="57"/>
      <c r="T37" s="57"/>
      <c r="U37" s="57"/>
    </row>
    <row r="38" customFormat="false" ht="15" hidden="false" customHeight="false" outlineLevel="0" collapsed="false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8" t="str">
        <f aca="false">IF(COUNT(G38:Q38)&gt;0,ROUND(SUM(G38:Q38),1),"")</f>
        <v/>
      </c>
      <c r="S38" s="57"/>
      <c r="T38" s="57"/>
      <c r="U38" s="57"/>
    </row>
    <row r="39" customFormat="false" ht="15" hidden="false" customHeight="false" outlineLevel="0" collapsed="false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8" t="str">
        <f aca="false">IF(COUNT(G39:Q39)&gt;0,ROUND(SUM(G39:Q39),1),"")</f>
        <v/>
      </c>
      <c r="S39" s="57"/>
      <c r="T39" s="57"/>
      <c r="U39" s="57"/>
    </row>
    <row r="40" customFormat="false" ht="15" hidden="false" customHeight="false" outlineLevel="0" collapsed="false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8" t="str">
        <f aca="false">IF(COUNT(G40:Q40)&gt;0,ROUND(SUM(G40:Q40),1),"")</f>
        <v/>
      </c>
      <c r="S40" s="57"/>
      <c r="T40" s="57"/>
      <c r="U40" s="57"/>
    </row>
    <row r="41" customFormat="false" ht="15" hidden="false" customHeight="false" outlineLevel="0" collapsed="false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8" t="str">
        <f aca="false">IF(COUNT(G41:Q41)&gt;0,ROUND(SUM(G41:Q41),1),"")</f>
        <v/>
      </c>
      <c r="S41" s="57"/>
      <c r="T41" s="57"/>
      <c r="U41" s="57"/>
    </row>
    <row r="42" customFormat="false" ht="15" hidden="false" customHeight="false" outlineLevel="0" collapsed="false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8" t="str">
        <f aca="false">IF(COUNT(G42:Q42)&gt;0,ROUND(SUM(G42:Q42),1),"")</f>
        <v/>
      </c>
      <c r="S42" s="57"/>
      <c r="T42" s="57"/>
      <c r="U42" s="57"/>
    </row>
    <row r="43" customFormat="false" ht="15" hidden="false" customHeight="false" outlineLevel="0" collapsed="false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8" t="str">
        <f aca="false">IF(COUNT(G43:Q43)&gt;0,ROUND(SUM(G43:Q43),1),"")</f>
        <v/>
      </c>
      <c r="S43" s="57"/>
      <c r="T43" s="57"/>
      <c r="U43" s="57"/>
    </row>
    <row r="44" customFormat="false" ht="15" hidden="false" customHeight="false" outlineLevel="0" collapsed="false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8" t="str">
        <f aca="false">IF(COUNT(G44:Q44)&gt;0,ROUND(SUM(G44:Q44),1),"")</f>
        <v/>
      </c>
      <c r="S44" s="57"/>
      <c r="T44" s="57"/>
      <c r="U44" s="57"/>
    </row>
    <row r="45" customFormat="false" ht="15" hidden="false" customHeight="false" outlineLevel="0" collapsed="false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8" t="str">
        <f aca="false">IF(COUNT(G45:Q45)&gt;0,ROUND(SUM(G45:Q45),1),"")</f>
        <v/>
      </c>
      <c r="S45" s="57"/>
      <c r="T45" s="57"/>
      <c r="U45" s="57"/>
    </row>
    <row r="46" customFormat="false" ht="15" hidden="false" customHeight="false" outlineLevel="0" collapsed="false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8" t="str">
        <f aca="false">IF(COUNT(G46:Q46)&gt;0,ROUND(SUM(G46:Q46),1),"")</f>
        <v/>
      </c>
      <c r="S46" s="57"/>
      <c r="T46" s="57"/>
      <c r="U46" s="57"/>
    </row>
    <row r="47" customFormat="false" ht="15" hidden="false" customHeight="false" outlineLevel="0" collapsed="false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8" t="str">
        <f aca="false">IF(COUNT(G47:Q47)&gt;0,ROUND(SUM(G47:Q47),1),"")</f>
        <v/>
      </c>
      <c r="S47" s="57"/>
      <c r="T47" s="57"/>
      <c r="U47" s="57"/>
    </row>
    <row r="48" customFormat="false" ht="15" hidden="false" customHeight="false" outlineLevel="0" collapsed="false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8" t="str">
        <f aca="false">IF(COUNT(G48:Q48)&gt;0,ROUND(SUM(G48:Q48),1),"")</f>
        <v/>
      </c>
      <c r="S48" s="57"/>
      <c r="T48" s="57"/>
      <c r="U48" s="57"/>
    </row>
    <row r="49" customFormat="false" ht="15" hidden="false" customHeight="false" outlineLevel="0" collapsed="false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8" t="str">
        <f aca="false">IF(COUNT(G49:Q49)&gt;0,ROUND(SUM(G49:Q49),1),"")</f>
        <v/>
      </c>
      <c r="S49" s="57"/>
      <c r="T49" s="57"/>
      <c r="U49" s="57"/>
    </row>
    <row r="50" customFormat="false" ht="15" hidden="false" customHeight="false" outlineLevel="0" collapsed="false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8" t="str">
        <f aca="false">IF(COUNT(G50:Q50)&gt;0,ROUND(SUM(G50:Q50),1),"")</f>
        <v/>
      </c>
      <c r="S50" s="57"/>
      <c r="T50" s="57"/>
      <c r="U50" s="57"/>
    </row>
    <row r="51" customFormat="false" ht="15" hidden="false" customHeight="false" outlineLevel="0" collapsed="false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8" t="str">
        <f aca="false">IF(COUNT(G51:Q51)&gt;0,ROUND(SUM(G51:Q51),1),"")</f>
        <v/>
      </c>
      <c r="S51" s="57"/>
      <c r="T51" s="57"/>
      <c r="U51" s="57"/>
    </row>
    <row r="52" customFormat="false" ht="15" hidden="false" customHeight="false" outlineLevel="0" collapsed="false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8" t="str">
        <f aca="false">IF(COUNT(G52:Q52)&gt;0,ROUND(SUM(G52:Q52),1),"")</f>
        <v/>
      </c>
      <c r="S52" s="57"/>
      <c r="T52" s="57"/>
      <c r="U52" s="57"/>
    </row>
    <row r="53" customFormat="false" ht="15" hidden="false" customHeight="false" outlineLevel="0" collapsed="false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8" t="str">
        <f aca="false">IF(COUNT(G53:Q53)&gt;0,ROUND(SUM(G53:Q53),1),"")</f>
        <v/>
      </c>
      <c r="S53" s="57"/>
      <c r="T53" s="57"/>
      <c r="U53" s="57"/>
    </row>
    <row r="54" customFormat="false" ht="15" hidden="false" customHeight="false" outlineLevel="0" collapsed="false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8" t="str">
        <f aca="false">IF(COUNT(G54:Q54)&gt;0,ROUND(SUM(G54:Q54),1),"")</f>
        <v/>
      </c>
      <c r="S54" s="57"/>
      <c r="T54" s="57"/>
      <c r="U54" s="57"/>
    </row>
    <row r="55" customFormat="false" ht="15" hidden="false" customHeight="false" outlineLevel="0" collapsed="false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8" t="str">
        <f aca="false">IF(COUNT(G55:Q55)&gt;0,ROUND(SUM(G55:Q55),1),"")</f>
        <v/>
      </c>
      <c r="S55" s="57"/>
      <c r="T55" s="57"/>
      <c r="U55" s="57"/>
    </row>
    <row r="56" customFormat="false" ht="15" hidden="false" customHeight="false" outlineLevel="0" collapsed="false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8" t="str">
        <f aca="false">IF(COUNT(G56:Q56)&gt;0,ROUND(SUM(G56:Q56),1),"")</f>
        <v/>
      </c>
      <c r="S56" s="57"/>
      <c r="T56" s="57"/>
      <c r="U56" s="57"/>
    </row>
    <row r="57" customFormat="false" ht="15" hidden="false" customHeight="false" outlineLevel="0" collapsed="false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8" t="str">
        <f aca="false">IF(COUNT(G57:Q57)&gt;0,ROUND(SUM(G57:Q57),1),"")</f>
        <v/>
      </c>
      <c r="S57" s="57"/>
      <c r="T57" s="57"/>
      <c r="U57" s="57"/>
    </row>
    <row r="58" customFormat="false" ht="15" hidden="false" customHeight="false" outlineLevel="0" collapsed="false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8" t="str">
        <f aca="false">IF(COUNT(G58:Q58)&gt;0,ROUND(SUM(G58:Q58),1),"")</f>
        <v/>
      </c>
      <c r="S58" s="57"/>
      <c r="T58" s="57"/>
      <c r="U58" s="57"/>
    </row>
    <row r="59" customFormat="false" ht="15" hidden="false" customHeight="false" outlineLevel="0" collapsed="false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8" t="str">
        <f aca="false">IF(COUNT(G59:Q59)&gt;0,ROUND(SUM(G59:Q59),1),"")</f>
        <v/>
      </c>
      <c r="S59" s="57"/>
      <c r="T59" s="57"/>
      <c r="U59" s="57"/>
    </row>
    <row r="60" customFormat="false" ht="15" hidden="false" customHeight="false" outlineLevel="0" collapsed="false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8" t="str">
        <f aca="false">IF(COUNT(G60:Q60)&gt;0,ROUND(SUM(G60:Q60),1),"")</f>
        <v/>
      </c>
      <c r="S60" s="57"/>
      <c r="T60" s="57"/>
      <c r="U60" s="57"/>
    </row>
    <row r="62" customFormat="false" ht="15" hidden="false" customHeight="false" outlineLevel="0" collapsed="false">
      <c r="A62" s="51" t="s">
        <v>144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</row>
  </sheetData>
  <mergeCells count="3">
    <mergeCell ref="A1:U1"/>
    <mergeCell ref="A2:U2"/>
    <mergeCell ref="A62:U62"/>
  </mergeCells>
  <dataValidations count="6">
    <dataValidation allowBlank="false" errorStyle="stop" operator="between" showDropDown="false" showErrorMessage="false" showInputMessage="false" sqref="C5:C60" type="list">
      <formula1>"three_position_50m"</formula1>
      <formula2>0</formula2>
    </dataValidation>
    <dataValidation allowBlank="true" errorStyle="stop" operator="between" showDropDown="false" showErrorMessage="false" showInputMessage="false" sqref="G5:L60" type="decimal">
      <formula1>0</formula1>
      <formula2>54.5</formula2>
    </dataValidation>
    <dataValidation allowBlank="true" errorStyle="stop" operator="between" showDropDown="false" showErrorMessage="false" showInputMessage="false" sqref="M5:Q60" type="decimal">
      <formula1>0</formula1>
      <formula2>10.9</formula2>
    </dataValidation>
    <dataValidation allowBlank="false" errorStyle="stop" operator="between" showDropDown="false" showErrorMessage="false" showInputMessage="false" sqref="F5:F60" type="list">
      <formula1>"open,junior,veteran,ladies"</formula1>
      <formula2>0</formula2>
    </dataValidation>
    <dataValidation allowBlank="true" errorStyle="stop" operator="between" showDropDown="false" showErrorMessage="false" showInputMessage="false" sqref="S5:S60" type="whole">
      <formula1>1</formula1>
      <formula2>64</formula2>
    </dataValidation>
    <dataValidation allowBlank="false" errorStyle="stop" operator="between" showDropDown="false" showErrorMessage="false" showInputMessage="false" sqref="T5:T60" type="list">
      <formula1>"official,provisional"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12" min="7" style="0" width="8"/>
    <col collapsed="false" customWidth="true" hidden="false" outlineLevel="0" max="15" min="13" style="0" width="11"/>
    <col collapsed="false" customWidth="true" hidden="false" outlineLevel="0" max="16" min="16" style="0" width="30"/>
  </cols>
  <sheetData>
    <row r="1" customFormat="false" ht="16.15" hidden="false" customHeight="false" outlineLevel="0" collapsed="false">
      <c r="A1" s="50" t="s">
        <v>145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customFormat="false" ht="15" hidden="false" customHeight="false" outlineLevel="0" collapsed="false">
      <c r="A2" s="51" t="s">
        <v>146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4" customFormat="false" ht="15" hidden="false" customHeight="false" outlineLevel="0" collapsed="false">
      <c r="A4" s="52" t="s">
        <v>73</v>
      </c>
      <c r="B4" s="52" t="s">
        <v>9</v>
      </c>
      <c r="C4" s="52" t="s">
        <v>55</v>
      </c>
      <c r="D4" s="52" t="s">
        <v>92</v>
      </c>
      <c r="E4" s="52" t="s">
        <v>93</v>
      </c>
      <c r="F4" s="52" t="s">
        <v>65</v>
      </c>
      <c r="G4" s="52" t="s">
        <v>147</v>
      </c>
      <c r="H4" s="52" t="s">
        <v>148</v>
      </c>
      <c r="I4" s="52" t="s">
        <v>149</v>
      </c>
      <c r="J4" s="52" t="s">
        <v>150</v>
      </c>
      <c r="K4" s="52" t="s">
        <v>151</v>
      </c>
      <c r="L4" s="52" t="s">
        <v>152</v>
      </c>
      <c r="M4" s="53" t="s">
        <v>106</v>
      </c>
      <c r="N4" s="53" t="s">
        <v>142</v>
      </c>
      <c r="O4" s="52" t="s">
        <v>23</v>
      </c>
      <c r="P4" s="52" t="s">
        <v>77</v>
      </c>
    </row>
    <row r="5" customFormat="false" ht="15" hidden="false" customHeight="false" outlineLevel="0" collapsed="false">
      <c r="A5" s="54" t="s">
        <v>78</v>
      </c>
      <c r="B5" s="54" t="s">
        <v>80</v>
      </c>
      <c r="C5" s="55" t="s">
        <v>81</v>
      </c>
      <c r="D5" s="55" t="s">
        <v>110</v>
      </c>
      <c r="E5" s="55" t="s">
        <v>153</v>
      </c>
      <c r="F5" s="54" t="s">
        <v>67</v>
      </c>
      <c r="G5" s="54" t="n">
        <v>100</v>
      </c>
      <c r="H5" s="54" t="n">
        <v>101</v>
      </c>
      <c r="I5" s="54" t="n">
        <v>101.4</v>
      </c>
      <c r="J5" s="54" t="n">
        <v>98.4</v>
      </c>
      <c r="K5" s="54" t="n">
        <v>94</v>
      </c>
      <c r="L5" s="54" t="n">
        <v>95</v>
      </c>
      <c r="M5" s="56" t="n">
        <f aca="false">IF(COUNT(G5:L5)=6,ROUND(SUM(G5:L5),1),"")</f>
        <v>589.8</v>
      </c>
      <c r="N5" s="54" t="n">
        <v>1</v>
      </c>
      <c r="O5" s="54" t="s">
        <v>111</v>
      </c>
      <c r="P5" s="55" t="s">
        <v>154</v>
      </c>
    </row>
    <row r="6" customFormat="false" ht="15" hidden="false" customHeight="false" outlineLevel="0" collapsed="false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8" t="str">
        <f aca="false">IF(COUNT(G6:L6)=6,ROUND(SUM(G6:L6),1),"")</f>
        <v/>
      </c>
      <c r="N6" s="57"/>
      <c r="O6" s="57"/>
      <c r="P6" s="57"/>
    </row>
    <row r="7" customFormat="false" ht="15" hidden="false" customHeight="false" outlineLevel="0" collapsed="false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8" t="str">
        <f aca="false">IF(COUNT(G7:L7)=6,ROUND(SUM(G7:L7),1),"")</f>
        <v/>
      </c>
      <c r="N7" s="57"/>
      <c r="O7" s="57"/>
      <c r="P7" s="57"/>
    </row>
    <row r="8" customFormat="false" ht="15" hidden="false" customHeight="false" outlineLevel="0" collapsed="false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8" t="str">
        <f aca="false">IF(COUNT(G8:L8)=6,ROUND(SUM(G8:L8),1),"")</f>
        <v/>
      </c>
      <c r="N8" s="57"/>
      <c r="O8" s="57"/>
      <c r="P8" s="57"/>
    </row>
    <row r="9" customFormat="false" ht="15" hidden="false" customHeight="false" outlineLevel="0" collapsed="false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8" t="str">
        <f aca="false">IF(COUNT(G9:L9)=6,ROUND(SUM(G9:L9),1),"")</f>
        <v/>
      </c>
      <c r="N9" s="57"/>
      <c r="O9" s="57"/>
      <c r="P9" s="57"/>
    </row>
    <row r="10" customFormat="false" ht="15" hidden="false" customHeight="false" outlineLevel="0" collapsed="false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8" t="str">
        <f aca="false">IF(COUNT(G10:L10)=6,ROUND(SUM(G10:L10),1),"")</f>
        <v/>
      </c>
      <c r="N10" s="57"/>
      <c r="O10" s="57"/>
      <c r="P10" s="57"/>
    </row>
    <row r="11" customFormat="false" ht="15" hidden="false" customHeight="false" outlineLevel="0" collapsed="false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8" t="str">
        <f aca="false">IF(COUNT(G11:L11)=6,ROUND(SUM(G11:L11),1),"")</f>
        <v/>
      </c>
      <c r="N11" s="57"/>
      <c r="O11" s="57"/>
      <c r="P11" s="57"/>
    </row>
    <row r="12" customFormat="false" ht="15" hidden="false" customHeight="false" outlineLevel="0" collapsed="false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8" t="str">
        <f aca="false">IF(COUNT(G12:L12)=6,ROUND(SUM(G12:L12),1),"")</f>
        <v/>
      </c>
      <c r="N12" s="57"/>
      <c r="O12" s="57"/>
      <c r="P12" s="57"/>
    </row>
    <row r="13" customFormat="false" ht="15" hidden="false" customHeight="false" outlineLevel="0" collapsed="false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8" t="str">
        <f aca="false">IF(COUNT(G13:L13)=6,ROUND(SUM(G13:L13),1),"")</f>
        <v/>
      </c>
      <c r="N13" s="57"/>
      <c r="O13" s="57"/>
      <c r="P13" s="57"/>
    </row>
    <row r="14" customFormat="false" ht="15" hidden="false" customHeight="false" outlineLevel="0" collapsed="false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 t="str">
        <f aca="false">IF(COUNT(G14:L14)=6,ROUND(SUM(G14:L14),1),"")</f>
        <v/>
      </c>
      <c r="N14" s="57"/>
      <c r="O14" s="57"/>
      <c r="P14" s="57"/>
    </row>
    <row r="15" customFormat="false" ht="15" hidden="false" customHeight="false" outlineLevel="0" collapsed="false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8" t="str">
        <f aca="false">IF(COUNT(G15:L15)=6,ROUND(SUM(G15:L15),1),"")</f>
        <v/>
      </c>
      <c r="N15" s="57"/>
      <c r="O15" s="57"/>
      <c r="P15" s="57"/>
    </row>
    <row r="16" customFormat="false" ht="15" hidden="false" customHeight="false" outlineLevel="0" collapsed="false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8" t="str">
        <f aca="false">IF(COUNT(G16:L16)=6,ROUND(SUM(G16:L16),1),"")</f>
        <v/>
      </c>
      <c r="N16" s="57"/>
      <c r="O16" s="57"/>
      <c r="P16" s="57"/>
    </row>
    <row r="17" customFormat="false" ht="15" hidden="false" customHeight="false" outlineLevel="0" collapsed="false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8" t="str">
        <f aca="false">IF(COUNT(G17:L17)=6,ROUND(SUM(G17:L17),1),"")</f>
        <v/>
      </c>
      <c r="N17" s="57"/>
      <c r="O17" s="57"/>
      <c r="P17" s="57"/>
    </row>
    <row r="18" customFormat="false" ht="15" hidden="false" customHeight="false" outlineLevel="0" collapsed="false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8" t="str">
        <f aca="false">IF(COUNT(G18:L18)=6,ROUND(SUM(G18:L18),1),"")</f>
        <v/>
      </c>
      <c r="N18" s="57"/>
      <c r="O18" s="57"/>
      <c r="P18" s="57"/>
    </row>
    <row r="19" customFormat="false" ht="15" hidden="false" customHeight="false" outlineLevel="0" collapsed="false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8" t="str">
        <f aca="false">IF(COUNT(G19:L19)=6,ROUND(SUM(G19:L19),1),"")</f>
        <v/>
      </c>
      <c r="N19" s="57"/>
      <c r="O19" s="57"/>
      <c r="P19" s="57"/>
    </row>
    <row r="20" customFormat="false" ht="15" hidden="false" customHeight="false" outlineLevel="0" collapsed="false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8" t="str">
        <f aca="false">IF(COUNT(G20:L20)=6,ROUND(SUM(G20:L20),1),"")</f>
        <v/>
      </c>
      <c r="N20" s="57"/>
      <c r="O20" s="57"/>
      <c r="P20" s="57"/>
    </row>
    <row r="21" customFormat="false" ht="15" hidden="false" customHeight="false" outlineLevel="0" collapsed="false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8" t="str">
        <f aca="false">IF(COUNT(G21:L21)=6,ROUND(SUM(G21:L21),1),"")</f>
        <v/>
      </c>
      <c r="N21" s="57"/>
      <c r="O21" s="57"/>
      <c r="P21" s="57"/>
    </row>
    <row r="22" customFormat="false" ht="15" hidden="false" customHeight="false" outlineLevel="0" collapsed="false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8" t="str">
        <f aca="false">IF(COUNT(G22:L22)=6,ROUND(SUM(G22:L22),1),"")</f>
        <v/>
      </c>
      <c r="N22" s="57"/>
      <c r="O22" s="57"/>
      <c r="P22" s="57"/>
    </row>
    <row r="23" customFormat="false" ht="15" hidden="false" customHeight="false" outlineLevel="0" collapsed="false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 t="str">
        <f aca="false">IF(COUNT(G23:L23)=6,ROUND(SUM(G23:L23),1),"")</f>
        <v/>
      </c>
      <c r="N23" s="57"/>
      <c r="O23" s="57"/>
      <c r="P23" s="57"/>
    </row>
    <row r="24" customFormat="false" ht="15" hidden="false" customHeight="false" outlineLevel="0" collapsed="false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8" t="str">
        <f aca="false">IF(COUNT(G24:L24)=6,ROUND(SUM(G24:L24),1),"")</f>
        <v/>
      </c>
      <c r="N24" s="57"/>
      <c r="O24" s="57"/>
      <c r="P24" s="57"/>
    </row>
    <row r="25" customFormat="false" ht="15" hidden="false" customHeight="false" outlineLevel="0" collapsed="false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8" t="str">
        <f aca="false">IF(COUNT(G25:L25)=6,ROUND(SUM(G25:L25),1),"")</f>
        <v/>
      </c>
      <c r="N25" s="57"/>
      <c r="O25" s="57"/>
      <c r="P25" s="57"/>
    </row>
    <row r="26" customFormat="false" ht="15" hidden="false" customHeight="false" outlineLevel="0" collapsed="false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8" t="str">
        <f aca="false">IF(COUNT(G26:L26)=6,ROUND(SUM(G26:L26),1),"")</f>
        <v/>
      </c>
      <c r="N26" s="57"/>
      <c r="O26" s="57"/>
      <c r="P26" s="57"/>
    </row>
    <row r="27" customFormat="false" ht="15" hidden="false" customHeight="false" outlineLevel="0" collapsed="false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8" t="str">
        <f aca="false">IF(COUNT(G27:L27)=6,ROUND(SUM(G27:L27),1),"")</f>
        <v/>
      </c>
      <c r="N27" s="57"/>
      <c r="O27" s="57"/>
      <c r="P27" s="57"/>
    </row>
    <row r="28" customFormat="false" ht="15" hidden="false" customHeight="false" outlineLevel="0" collapsed="false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 t="str">
        <f aca="false">IF(COUNT(G28:L28)=6,ROUND(SUM(G28:L28),1),"")</f>
        <v/>
      </c>
      <c r="N28" s="57"/>
      <c r="O28" s="57"/>
      <c r="P28" s="57"/>
    </row>
    <row r="29" customFormat="false" ht="15" hidden="false" customHeight="false" outlineLevel="0" collapsed="false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8" t="str">
        <f aca="false">IF(COUNT(G29:L29)=6,ROUND(SUM(G29:L29),1),"")</f>
        <v/>
      </c>
      <c r="N29" s="57"/>
      <c r="O29" s="57"/>
      <c r="P29" s="57"/>
    </row>
    <row r="30" customFormat="false" ht="15" hidden="false" customHeight="false" outlineLevel="0" collapsed="false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 t="str">
        <f aca="false">IF(COUNT(G30:L30)=6,ROUND(SUM(G30:L30),1),"")</f>
        <v/>
      </c>
      <c r="N30" s="57"/>
      <c r="O30" s="57"/>
      <c r="P30" s="57"/>
    </row>
    <row r="31" customFormat="false" ht="15" hidden="false" customHeight="false" outlineLevel="0" collapsed="false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 t="str">
        <f aca="false">IF(COUNT(G31:L31)=6,ROUND(SUM(G31:L31),1),"")</f>
        <v/>
      </c>
      <c r="N31" s="57"/>
      <c r="O31" s="57"/>
      <c r="P31" s="57"/>
    </row>
    <row r="32" customFormat="false" ht="15" hidden="false" customHeight="false" outlineLevel="0" collapsed="false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 t="str">
        <f aca="false">IF(COUNT(G32:L32)=6,ROUND(SUM(G32:L32),1),"")</f>
        <v/>
      </c>
      <c r="N32" s="57"/>
      <c r="O32" s="57"/>
      <c r="P32" s="57"/>
    </row>
    <row r="33" customFormat="false" ht="15" hidden="false" customHeight="false" outlineLevel="0" collapsed="false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 t="str">
        <f aca="false">IF(COUNT(G33:L33)=6,ROUND(SUM(G33:L33),1),"")</f>
        <v/>
      </c>
      <c r="N33" s="57"/>
      <c r="O33" s="57"/>
      <c r="P33" s="57"/>
    </row>
    <row r="34" customFormat="false" ht="15" hidden="false" customHeight="false" outlineLevel="0" collapsed="false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8" t="str">
        <f aca="false">IF(COUNT(G34:L34)=6,ROUND(SUM(G34:L34),1),"")</f>
        <v/>
      </c>
      <c r="N34" s="57"/>
      <c r="O34" s="57"/>
      <c r="P34" s="57"/>
    </row>
    <row r="35" customFormat="false" ht="15" hidden="false" customHeight="false" outlineLevel="0" collapsed="false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8" t="str">
        <f aca="false">IF(COUNT(G35:L35)=6,ROUND(SUM(G35:L35),1),"")</f>
        <v/>
      </c>
      <c r="N35" s="57"/>
      <c r="O35" s="57"/>
      <c r="P35" s="57"/>
    </row>
    <row r="36" customFormat="false" ht="15" hidden="false" customHeight="false" outlineLevel="0" collapsed="false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8" t="str">
        <f aca="false">IF(COUNT(G36:L36)=6,ROUND(SUM(G36:L36),1),"")</f>
        <v/>
      </c>
      <c r="N36" s="57"/>
      <c r="O36" s="57"/>
      <c r="P36" s="57"/>
    </row>
    <row r="37" customFormat="false" ht="15" hidden="false" customHeight="false" outlineLevel="0" collapsed="false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8" t="str">
        <f aca="false">IF(COUNT(G37:L37)=6,ROUND(SUM(G37:L37),1),"")</f>
        <v/>
      </c>
      <c r="N37" s="57"/>
      <c r="O37" s="57"/>
      <c r="P37" s="57"/>
    </row>
    <row r="38" customFormat="false" ht="15" hidden="false" customHeight="false" outlineLevel="0" collapsed="false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 t="str">
        <f aca="false">IF(COUNT(G38:L38)=6,ROUND(SUM(G38:L38),1),"")</f>
        <v/>
      </c>
      <c r="N38" s="57"/>
      <c r="O38" s="57"/>
      <c r="P38" s="57"/>
    </row>
    <row r="39" customFormat="false" ht="15" hidden="false" customHeight="false" outlineLevel="0" collapsed="false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 t="str">
        <f aca="false">IF(COUNT(G39:L39)=6,ROUND(SUM(G39:L39),1),"")</f>
        <v/>
      </c>
      <c r="N39" s="57"/>
      <c r="O39" s="57"/>
      <c r="P39" s="57"/>
    </row>
    <row r="40" customFormat="false" ht="15" hidden="false" customHeight="false" outlineLevel="0" collapsed="false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8" t="str">
        <f aca="false">IF(COUNT(G40:L40)=6,ROUND(SUM(G40:L40),1),"")</f>
        <v/>
      </c>
      <c r="N40" s="57"/>
      <c r="O40" s="57"/>
      <c r="P40" s="57"/>
    </row>
    <row r="41" customFormat="false" ht="15" hidden="false" customHeight="false" outlineLevel="0" collapsed="false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 t="str">
        <f aca="false">IF(COUNT(G41:L41)=6,ROUND(SUM(G41:L41),1),"")</f>
        <v/>
      </c>
      <c r="N41" s="57"/>
      <c r="O41" s="57"/>
      <c r="P41" s="57"/>
    </row>
    <row r="42" customFormat="false" ht="15" hidden="false" customHeight="false" outlineLevel="0" collapsed="false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8" t="str">
        <f aca="false">IF(COUNT(G42:L42)=6,ROUND(SUM(G42:L42),1),"")</f>
        <v/>
      </c>
      <c r="N42" s="57"/>
      <c r="O42" s="57"/>
      <c r="P42" s="57"/>
    </row>
    <row r="43" customFormat="false" ht="15" hidden="false" customHeight="false" outlineLevel="0" collapsed="false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8" t="str">
        <f aca="false">IF(COUNT(G43:L43)=6,ROUND(SUM(G43:L43),1),"")</f>
        <v/>
      </c>
      <c r="N43" s="57"/>
      <c r="O43" s="57"/>
      <c r="P43" s="57"/>
    </row>
    <row r="44" customFormat="false" ht="15" hidden="false" customHeight="false" outlineLevel="0" collapsed="false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8" t="str">
        <f aca="false">IF(COUNT(G44:L44)=6,ROUND(SUM(G44:L44),1),"")</f>
        <v/>
      </c>
      <c r="N44" s="57"/>
      <c r="O44" s="57"/>
      <c r="P44" s="57"/>
    </row>
    <row r="45" customFormat="false" ht="15" hidden="false" customHeight="false" outlineLevel="0" collapsed="false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8" t="str">
        <f aca="false">IF(COUNT(G45:L45)=6,ROUND(SUM(G45:L45),1),"")</f>
        <v/>
      </c>
      <c r="N45" s="57"/>
      <c r="O45" s="57"/>
      <c r="P45" s="57"/>
    </row>
    <row r="46" customFormat="false" ht="15" hidden="false" customHeight="false" outlineLevel="0" collapsed="false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8" t="str">
        <f aca="false">IF(COUNT(G46:L46)=6,ROUND(SUM(G46:L46),1),"")</f>
        <v/>
      </c>
      <c r="N46" s="57"/>
      <c r="O46" s="57"/>
      <c r="P46" s="57"/>
    </row>
    <row r="47" customFormat="false" ht="15" hidden="false" customHeight="false" outlineLevel="0" collapsed="false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8" t="str">
        <f aca="false">IF(COUNT(G47:L47)=6,ROUND(SUM(G47:L47),1),"")</f>
        <v/>
      </c>
      <c r="N47" s="57"/>
      <c r="O47" s="57"/>
      <c r="P47" s="57"/>
    </row>
    <row r="48" customFormat="false" ht="15" hidden="false" customHeight="false" outlineLevel="0" collapsed="false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8" t="str">
        <f aca="false">IF(COUNT(G48:L48)=6,ROUND(SUM(G48:L48),1),"")</f>
        <v/>
      </c>
      <c r="N48" s="57"/>
      <c r="O48" s="57"/>
      <c r="P48" s="57"/>
    </row>
    <row r="49" customFormat="false" ht="15" hidden="false" customHeight="false" outlineLevel="0" collapsed="false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8" t="str">
        <f aca="false">IF(COUNT(G49:L49)=6,ROUND(SUM(G49:L49),1),"")</f>
        <v/>
      </c>
      <c r="N49" s="57"/>
      <c r="O49" s="57"/>
      <c r="P49" s="57"/>
    </row>
    <row r="50" customFormat="false" ht="15" hidden="false" customHeight="false" outlineLevel="0" collapsed="false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8" t="str">
        <f aca="false">IF(COUNT(G50:L50)=6,ROUND(SUM(G50:L50),1),"")</f>
        <v/>
      </c>
      <c r="N50" s="57"/>
      <c r="O50" s="57"/>
      <c r="P50" s="57"/>
    </row>
    <row r="51" customFormat="false" ht="15" hidden="false" customHeight="false" outlineLevel="0" collapsed="false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8" t="str">
        <f aca="false">IF(COUNT(G51:L51)=6,ROUND(SUM(G51:L51),1),"")</f>
        <v/>
      </c>
      <c r="N51" s="57"/>
      <c r="O51" s="57"/>
      <c r="P51" s="57"/>
    </row>
    <row r="52" customFormat="false" ht="15" hidden="false" customHeight="false" outlineLevel="0" collapsed="false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8" t="str">
        <f aca="false">IF(COUNT(G52:L52)=6,ROUND(SUM(G52:L52),1),"")</f>
        <v/>
      </c>
      <c r="N52" s="57"/>
      <c r="O52" s="57"/>
      <c r="P52" s="57"/>
    </row>
    <row r="53" customFormat="false" ht="15" hidden="false" customHeight="false" outlineLevel="0" collapsed="false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8" t="str">
        <f aca="false">IF(COUNT(G53:L53)=6,ROUND(SUM(G53:L53),1),"")</f>
        <v/>
      </c>
      <c r="N53" s="57"/>
      <c r="O53" s="57"/>
      <c r="P53" s="57"/>
    </row>
    <row r="54" customFormat="false" ht="15" hidden="false" customHeight="false" outlineLevel="0" collapsed="false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8" t="str">
        <f aca="false">IF(COUNT(G54:L54)=6,ROUND(SUM(G54:L54),1),"")</f>
        <v/>
      </c>
      <c r="N54" s="57"/>
      <c r="O54" s="57"/>
      <c r="P54" s="57"/>
    </row>
    <row r="55" customFormat="false" ht="15" hidden="false" customHeight="false" outlineLevel="0" collapsed="false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8" t="str">
        <f aca="false">IF(COUNT(G55:L55)=6,ROUND(SUM(G55:L55),1),"")</f>
        <v/>
      </c>
      <c r="N55" s="57"/>
      <c r="O55" s="57"/>
      <c r="P55" s="57"/>
    </row>
    <row r="56" customFormat="false" ht="15" hidden="false" customHeight="false" outlineLevel="0" collapsed="false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8" t="str">
        <f aca="false">IF(COUNT(G56:L56)=6,ROUND(SUM(G56:L56),1),"")</f>
        <v/>
      </c>
      <c r="N56" s="57"/>
      <c r="O56" s="57"/>
      <c r="P56" s="57"/>
    </row>
    <row r="57" customFormat="false" ht="15" hidden="false" customHeight="false" outlineLevel="0" collapsed="false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8" t="str">
        <f aca="false">IF(COUNT(G57:L57)=6,ROUND(SUM(G57:L57),1),"")</f>
        <v/>
      </c>
      <c r="N57" s="57"/>
      <c r="O57" s="57"/>
      <c r="P57" s="57"/>
    </row>
    <row r="58" customFormat="false" ht="15" hidden="false" customHeight="false" outlineLevel="0" collapsed="false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8" t="str">
        <f aca="false">IF(COUNT(G58:L58)=6,ROUND(SUM(G58:L58),1),"")</f>
        <v/>
      </c>
      <c r="N58" s="57"/>
      <c r="O58" s="57"/>
      <c r="P58" s="57"/>
    </row>
    <row r="59" customFormat="false" ht="15" hidden="false" customHeight="false" outlineLevel="0" collapsed="false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8" t="str">
        <f aca="false">IF(COUNT(G59:L59)=6,ROUND(SUM(G59:L59),1),"")</f>
        <v/>
      </c>
      <c r="N59" s="57"/>
      <c r="O59" s="57"/>
      <c r="P59" s="57"/>
    </row>
    <row r="60" customFormat="false" ht="15" hidden="false" customHeight="false" outlineLevel="0" collapsed="false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8" t="str">
        <f aca="false">IF(COUNT(G60:L60)=6,ROUND(SUM(G60:L60),1),"")</f>
        <v/>
      </c>
      <c r="N60" s="57"/>
      <c r="O60" s="57"/>
      <c r="P60" s="57"/>
    </row>
  </sheetData>
  <mergeCells count="2">
    <mergeCell ref="A1:P1"/>
    <mergeCell ref="A2:P2"/>
  </mergeCells>
  <dataValidations count="5">
    <dataValidation allowBlank="true" errorStyle="stop" operator="between" showDropDown="false" showErrorMessage="false" showInputMessage="false" sqref="G5:L60" type="decimal">
      <formula1>0</formula1>
      <formula2>109</formula2>
    </dataValidation>
    <dataValidation allowBlank="true" errorStyle="stop" operator="between" showDropDown="false" showErrorMessage="false" showInputMessage="false" sqref="N5:N60" type="whole">
      <formula1>1</formula1>
      <formula2>64</formula2>
    </dataValidation>
    <dataValidation allowBlank="false" errorStyle="stop" operator="between" showDropDown="false" showErrorMessage="false" showInputMessage="false" sqref="C5:C60" type="list">
      <formula1>"prone_50m"</formula1>
      <formula2>0</formula2>
    </dataValidation>
    <dataValidation allowBlank="false" errorStyle="stop" operator="between" showDropDown="false" showErrorMessage="false" showInputMessage="false" sqref="F5:F60" type="list">
      <formula1>"open,junior,veteran,ladies"</formula1>
      <formula2>0</formula2>
    </dataValidation>
    <dataValidation allowBlank="false" errorStyle="stop" operator="between" showDropDown="false" showErrorMessage="false" showInputMessage="false" sqref="O5:O60" type="list">
      <formula1>"official,provisional"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B8" activeCellId="0" sqref="B8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26" min="7" style="1" width="8.71"/>
  </cols>
  <sheetData>
    <row r="1" customFormat="false" ht="21.75" hidden="false" customHeight="true" outlineLevel="0" collapsed="false">
      <c r="A1" s="38" t="s">
        <v>155</v>
      </c>
      <c r="B1" s="38"/>
      <c r="C1" s="38"/>
      <c r="D1" s="38"/>
      <c r="E1" s="38"/>
      <c r="F1" s="38"/>
      <c r="G1" s="38"/>
    </row>
    <row r="2" customFormat="false" ht="15" hidden="false" customHeight="true" outlineLevel="0" collapsed="false">
      <c r="A2" s="29" t="s">
        <v>156</v>
      </c>
      <c r="B2" s="29"/>
      <c r="C2" s="29"/>
      <c r="D2" s="29"/>
      <c r="E2" s="29"/>
      <c r="F2" s="29"/>
      <c r="G2" s="29"/>
    </row>
    <row r="3" customFormat="false" ht="15" hidden="false" customHeight="true" outlineLevel="0" collapsed="false"/>
    <row r="4" customFormat="false" ht="15" hidden="false" customHeight="true" outlineLevel="0" collapsed="false">
      <c r="A4" s="59" t="s">
        <v>157</v>
      </c>
      <c r="B4" s="60" t="s">
        <v>84</v>
      </c>
      <c r="C4" s="61" t="str">
        <f aca="false">IFERROR("("&amp;VLOOKUP(B4,'Match Setup'!$A$5:$G$25,2,FALSE())&amp;" — "&amp;VLOOKUP(B4,'Match Setup'!$A$5:$G$25,4,FALSE())&amp;", Final: "&amp;VLOOKUP(B4,'Match Setup'!$A$5:$G$25,5,FALSE())&amp;")","")</f>
        <v>(Open 3P Champs — three_position_50m, Final: Yes)</v>
      </c>
    </row>
    <row r="5" customFormat="false" ht="15" hidden="false" customHeight="true" outlineLevel="0" collapsed="false"/>
    <row r="6" customFormat="false" ht="15" hidden="false" customHeight="true" outlineLevel="0" collapsed="false">
      <c r="A6" s="39" t="s">
        <v>158</v>
      </c>
      <c r="B6" s="39" t="s">
        <v>159</v>
      </c>
      <c r="C6" s="39" t="s">
        <v>160</v>
      </c>
      <c r="D6" s="39" t="s">
        <v>161</v>
      </c>
      <c r="E6" s="39" t="s">
        <v>162</v>
      </c>
      <c r="F6" s="39" t="s">
        <v>142</v>
      </c>
    </row>
    <row r="7" customFormat="false" ht="15" hidden="false" customHeight="true" outlineLevel="0" collapsed="false">
      <c r="A7" s="40"/>
      <c r="B7" s="40"/>
      <c r="C7" s="62" t="str">
        <f aca="false">IF(B7="","",IF(F7&lt;&gt;"","Final","Qualification"))</f>
        <v/>
      </c>
      <c r="D7" s="60"/>
      <c r="E7" s="60"/>
      <c r="F7" s="60"/>
    </row>
    <row r="8" customFormat="false" ht="15" hidden="false" customHeight="true" outlineLevel="0" collapsed="false">
      <c r="A8" s="40"/>
      <c r="B8" s="40"/>
      <c r="C8" s="62" t="str">
        <f aca="false">IF(B8="","",IF(F8&lt;&gt;"","Final","Qualification"))</f>
        <v/>
      </c>
      <c r="D8" s="60"/>
      <c r="E8" s="60"/>
      <c r="F8" s="60"/>
    </row>
    <row r="9" customFormat="false" ht="15" hidden="false" customHeight="true" outlineLevel="0" collapsed="false">
      <c r="A9" s="40"/>
      <c r="B9" s="40"/>
      <c r="C9" s="62" t="str">
        <f aca="false">IF(B9="","",IF(F9&lt;&gt;"","Final","Qualification"))</f>
        <v/>
      </c>
      <c r="D9" s="60"/>
      <c r="E9" s="60"/>
      <c r="F9" s="60"/>
    </row>
    <row r="10" customFormat="false" ht="15" hidden="false" customHeight="true" outlineLevel="0" collapsed="false">
      <c r="A10" s="40"/>
      <c r="B10" s="40"/>
      <c r="C10" s="62" t="str">
        <f aca="false">IF(B10="","",IF(F10&lt;&gt;"","Final","Qualification"))</f>
        <v/>
      </c>
      <c r="D10" s="60"/>
      <c r="E10" s="60"/>
      <c r="F10" s="60"/>
    </row>
    <row r="11" customFormat="false" ht="15" hidden="false" customHeight="true" outlineLevel="0" collapsed="false">
      <c r="A11" s="40"/>
      <c r="B11" s="40"/>
      <c r="C11" s="62" t="str">
        <f aca="false">IF(B11="","",IF(F11&lt;&gt;"","Final","Qualification"))</f>
        <v/>
      </c>
      <c r="D11" s="60"/>
      <c r="E11" s="60"/>
      <c r="F11" s="60"/>
    </row>
    <row r="12" customFormat="false" ht="15" hidden="false" customHeight="true" outlineLevel="0" collapsed="false">
      <c r="A12" s="40"/>
      <c r="B12" s="40"/>
      <c r="C12" s="62" t="str">
        <f aca="false">IF(B12="","",IF(F12&lt;&gt;"","Final","Qualification"))</f>
        <v/>
      </c>
      <c r="D12" s="60"/>
      <c r="E12" s="60"/>
      <c r="F12" s="60"/>
    </row>
    <row r="13" customFormat="false" ht="15" hidden="false" customHeight="true" outlineLevel="0" collapsed="false">
      <c r="A13" s="40"/>
      <c r="B13" s="40"/>
      <c r="C13" s="62" t="str">
        <f aca="false">IF(B13="","",IF(F13&lt;&gt;"","Final","Qualification"))</f>
        <v/>
      </c>
      <c r="D13" s="60"/>
      <c r="E13" s="60"/>
      <c r="F13" s="60"/>
    </row>
    <row r="14" customFormat="false" ht="15" hidden="false" customHeight="true" outlineLevel="0" collapsed="false">
      <c r="A14" s="40"/>
      <c r="B14" s="40"/>
      <c r="C14" s="62" t="str">
        <f aca="false">IF(B14="","",IF(F14&lt;&gt;"","Final","Qualification"))</f>
        <v/>
      </c>
      <c r="D14" s="60"/>
      <c r="E14" s="60"/>
      <c r="F14" s="60"/>
    </row>
    <row r="15" customFormat="false" ht="15" hidden="false" customHeight="true" outlineLevel="0" collapsed="false">
      <c r="A15" s="40"/>
      <c r="B15" s="40"/>
      <c r="C15" s="62" t="str">
        <f aca="false">IF(B15="","",IF(F15&lt;&gt;"","Final","Qualification"))</f>
        <v/>
      </c>
      <c r="D15" s="60"/>
      <c r="E15" s="60"/>
      <c r="F15" s="60"/>
    </row>
    <row r="16" customFormat="false" ht="15" hidden="false" customHeight="true" outlineLevel="0" collapsed="false">
      <c r="A16" s="40"/>
      <c r="B16" s="40"/>
      <c r="C16" s="62" t="str">
        <f aca="false">IF(B16="","",IF(F16&lt;&gt;"","Final","Qualification"))</f>
        <v/>
      </c>
      <c r="D16" s="60"/>
      <c r="E16" s="60"/>
      <c r="F16" s="60"/>
    </row>
    <row r="17" customFormat="false" ht="15" hidden="false" customHeight="true" outlineLevel="0" collapsed="false">
      <c r="A17" s="40"/>
      <c r="B17" s="40"/>
      <c r="C17" s="62" t="str">
        <f aca="false">IF(B17="","",IF(F17&lt;&gt;"","Final","Qualification"))</f>
        <v/>
      </c>
      <c r="D17" s="60"/>
      <c r="E17" s="60"/>
      <c r="F17" s="60"/>
    </row>
    <row r="18" customFormat="false" ht="15" hidden="false" customHeight="true" outlineLevel="0" collapsed="false">
      <c r="A18" s="40"/>
      <c r="B18" s="40"/>
      <c r="C18" s="62" t="str">
        <f aca="false">IF(B18="","",IF(F18&lt;&gt;"","Final","Qualification"))</f>
        <v/>
      </c>
      <c r="D18" s="60"/>
      <c r="E18" s="60"/>
      <c r="F18" s="60"/>
    </row>
    <row r="19" customFormat="false" ht="15" hidden="false" customHeight="true" outlineLevel="0" collapsed="false">
      <c r="A19" s="40"/>
      <c r="B19" s="40"/>
      <c r="C19" s="62" t="str">
        <f aca="false">IF(B19="","",IF(F19&lt;&gt;"","Final","Qualification"))</f>
        <v/>
      </c>
      <c r="D19" s="60"/>
      <c r="E19" s="60"/>
      <c r="F19" s="60"/>
    </row>
    <row r="20" customFormat="false" ht="15" hidden="false" customHeight="true" outlineLevel="0" collapsed="false">
      <c r="A20" s="40"/>
      <c r="B20" s="40"/>
      <c r="C20" s="62" t="str">
        <f aca="false">IF(B20="","",IF(F20&lt;&gt;"","Final","Qualification"))</f>
        <v/>
      </c>
      <c r="D20" s="60"/>
      <c r="E20" s="60"/>
      <c r="F20" s="60"/>
    </row>
    <row r="21" customFormat="false" ht="15" hidden="false" customHeight="true" outlineLevel="0" collapsed="false">
      <c r="A21" s="40"/>
      <c r="B21" s="40"/>
      <c r="C21" s="62" t="str">
        <f aca="false">IF(B21="","",IF(F21&lt;&gt;"","Final","Qualification"))</f>
        <v/>
      </c>
      <c r="D21" s="60"/>
      <c r="E21" s="60"/>
      <c r="F21" s="60"/>
    </row>
    <row r="22" customFormat="false" ht="15" hidden="false" customHeight="true" outlineLevel="0" collapsed="false">
      <c r="A22" s="40"/>
      <c r="B22" s="40"/>
      <c r="C22" s="62" t="str">
        <f aca="false">IF(B22="","",IF(F22&lt;&gt;"","Final","Qualification"))</f>
        <v/>
      </c>
      <c r="D22" s="60"/>
      <c r="E22" s="60"/>
      <c r="F22" s="60"/>
    </row>
    <row r="23" customFormat="false" ht="15" hidden="false" customHeight="true" outlineLevel="0" collapsed="false">
      <c r="A23" s="40"/>
      <c r="B23" s="40"/>
      <c r="C23" s="62" t="str">
        <f aca="false">IF(B23="","",IF(F23&lt;&gt;"","Final","Qualification"))</f>
        <v/>
      </c>
      <c r="D23" s="60"/>
      <c r="E23" s="60"/>
      <c r="F23" s="60"/>
    </row>
    <row r="24" customFormat="false" ht="15" hidden="false" customHeight="true" outlineLevel="0" collapsed="false">
      <c r="A24" s="40"/>
      <c r="B24" s="40"/>
      <c r="C24" s="62" t="str">
        <f aca="false">IF(B24="","",IF(F24&lt;&gt;"","Final","Qualification"))</f>
        <v/>
      </c>
      <c r="D24" s="60"/>
      <c r="E24" s="60"/>
      <c r="F24" s="60"/>
    </row>
    <row r="25" customFormat="false" ht="15" hidden="false" customHeight="true" outlineLevel="0" collapsed="false">
      <c r="A25" s="40"/>
      <c r="B25" s="40"/>
      <c r="C25" s="62" t="str">
        <f aca="false">IF(B25="","",IF(F25&lt;&gt;"","Final","Qualification"))</f>
        <v/>
      </c>
      <c r="D25" s="60"/>
      <c r="E25" s="60"/>
      <c r="F25" s="60"/>
    </row>
    <row r="26" customFormat="false" ht="15" hidden="false" customHeight="true" outlineLevel="0" collapsed="false">
      <c r="A26" s="40"/>
      <c r="B26" s="40"/>
      <c r="C26" s="62" t="str">
        <f aca="false">IF(B26="","",IF(F26&lt;&gt;"","Final","Qualification"))</f>
        <v/>
      </c>
      <c r="D26" s="60"/>
      <c r="E26" s="60"/>
      <c r="F26" s="60"/>
    </row>
    <row r="27" customFormat="false" ht="15.75" hidden="false" customHeight="true" outlineLevel="0" collapsed="false"/>
    <row r="28" customFormat="false" ht="15" hidden="false" customHeight="true" outlineLevel="0" collapsed="false">
      <c r="A28" s="29" t="s">
        <v>163</v>
      </c>
      <c r="B28" s="29"/>
      <c r="C28" s="29"/>
      <c r="D28" s="29"/>
      <c r="E28" s="29"/>
      <c r="F28" s="29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G1"/>
    <mergeCell ref="A2:G2"/>
    <mergeCell ref="A28:F28"/>
  </mergeCells>
  <dataValidations count="1">
    <dataValidation allowBlank="true" errorStyle="stop" operator="between" showDropDown="false" showErrorMessage="false" showInputMessage="false" sqref="B4" type="list">
      <formula1>'Match Setup'!$A$5:$A$25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26" min="11" style="1" width="8.71"/>
  </cols>
  <sheetData>
    <row r="1" customFormat="false" ht="19.5" hidden="false" customHeight="true" outlineLevel="0" collapsed="false">
      <c r="A1" s="38" t="s">
        <v>164</v>
      </c>
      <c r="B1" s="38"/>
      <c r="C1" s="38"/>
      <c r="D1" s="38"/>
      <c r="E1" s="38"/>
      <c r="F1" s="38"/>
      <c r="G1" s="38"/>
      <c r="H1" s="38"/>
      <c r="I1" s="38"/>
      <c r="J1" s="38"/>
    </row>
    <row r="2" customFormat="false" ht="15" hidden="false" customHeight="true" outlineLevel="0" collapsed="false">
      <c r="A2" s="29" t="s">
        <v>165</v>
      </c>
      <c r="B2" s="29"/>
      <c r="C2" s="29"/>
      <c r="D2" s="29"/>
      <c r="E2" s="29"/>
      <c r="F2" s="29"/>
      <c r="G2" s="29"/>
      <c r="H2" s="29"/>
      <c r="I2" s="29"/>
      <c r="J2" s="29"/>
    </row>
    <row r="3" customFormat="false" ht="15" hidden="false" customHeight="true" outlineLevel="0" collapsed="false">
      <c r="A3" s="39" t="s">
        <v>73</v>
      </c>
      <c r="B3" s="39" t="s">
        <v>9</v>
      </c>
      <c r="C3" s="39" t="s">
        <v>55</v>
      </c>
      <c r="D3" s="39" t="s">
        <v>166</v>
      </c>
      <c r="E3" s="39" t="s">
        <v>159</v>
      </c>
      <c r="F3" s="39" t="s">
        <v>93</v>
      </c>
      <c r="G3" s="39" t="s">
        <v>65</v>
      </c>
      <c r="H3" s="39" t="s">
        <v>167</v>
      </c>
      <c r="I3" s="39" t="s">
        <v>142</v>
      </c>
      <c r="J3" s="39" t="s">
        <v>23</v>
      </c>
    </row>
    <row r="4" customFormat="false" ht="15" hidden="false" customHeight="true" outlineLevel="0" collapsed="false">
      <c r="A4" s="60"/>
      <c r="B4" s="63"/>
      <c r="C4" s="60"/>
      <c r="D4" s="60"/>
      <c r="E4" s="60"/>
      <c r="F4" s="60"/>
      <c r="G4" s="60"/>
      <c r="H4" s="60"/>
      <c r="I4" s="60"/>
      <c r="J4" s="60"/>
    </row>
    <row r="5" customFormat="false" ht="15" hidden="false" customHeight="true" outlineLevel="0" collapsed="false">
      <c r="A5" s="60"/>
      <c r="B5" s="63"/>
      <c r="C5" s="60"/>
      <c r="D5" s="60"/>
      <c r="E5" s="60"/>
      <c r="F5" s="60"/>
      <c r="G5" s="60"/>
      <c r="H5" s="60"/>
      <c r="I5" s="60"/>
      <c r="J5" s="60"/>
    </row>
    <row r="6" customFormat="false" ht="15" hidden="false" customHeight="true" outlineLevel="0" collapsed="false">
      <c r="A6" s="60"/>
      <c r="B6" s="63"/>
      <c r="C6" s="60"/>
      <c r="D6" s="60"/>
      <c r="E6" s="60"/>
      <c r="F6" s="60"/>
      <c r="G6" s="60"/>
      <c r="H6" s="60"/>
      <c r="I6" s="60"/>
      <c r="J6" s="60"/>
    </row>
    <row r="7" customFormat="false" ht="15" hidden="false" customHeight="true" outlineLevel="0" collapsed="false">
      <c r="A7" s="60"/>
      <c r="B7" s="63"/>
      <c r="C7" s="60"/>
      <c r="D7" s="60"/>
      <c r="E7" s="60"/>
      <c r="F7" s="60"/>
      <c r="G7" s="60"/>
      <c r="H7" s="60"/>
      <c r="I7" s="60"/>
      <c r="J7" s="60"/>
    </row>
    <row r="8" customFormat="false" ht="15" hidden="false" customHeight="true" outlineLevel="0" collapsed="false">
      <c r="A8" s="60"/>
      <c r="B8" s="63"/>
      <c r="C8" s="60"/>
      <c r="D8" s="60"/>
      <c r="E8" s="60"/>
      <c r="F8" s="60"/>
      <c r="G8" s="60"/>
      <c r="H8" s="60"/>
      <c r="I8" s="60"/>
      <c r="J8" s="60"/>
    </row>
    <row r="9" customFormat="false" ht="15" hidden="false" customHeight="true" outlineLevel="0" collapsed="false">
      <c r="A9" s="60"/>
      <c r="B9" s="63"/>
      <c r="C9" s="60"/>
      <c r="D9" s="60"/>
      <c r="E9" s="60"/>
      <c r="F9" s="60"/>
      <c r="G9" s="60"/>
      <c r="H9" s="60"/>
      <c r="I9" s="60"/>
      <c r="J9" s="60"/>
    </row>
    <row r="10" customFormat="false" ht="15" hidden="false" customHeight="true" outlineLevel="0" collapsed="false">
      <c r="A10" s="60"/>
      <c r="B10" s="63"/>
      <c r="C10" s="60"/>
      <c r="D10" s="60"/>
      <c r="E10" s="60"/>
      <c r="F10" s="60"/>
      <c r="G10" s="60"/>
      <c r="H10" s="60"/>
      <c r="I10" s="60"/>
      <c r="J10" s="60"/>
    </row>
    <row r="11" customFormat="false" ht="15" hidden="false" customHeight="true" outlineLevel="0" collapsed="false">
      <c r="A11" s="60"/>
      <c r="B11" s="63"/>
      <c r="C11" s="60"/>
      <c r="D11" s="60"/>
      <c r="E11" s="60"/>
      <c r="F11" s="60"/>
      <c r="G11" s="60"/>
      <c r="H11" s="60"/>
      <c r="I11" s="60"/>
      <c r="J11" s="60"/>
    </row>
    <row r="12" customFormat="false" ht="15" hidden="false" customHeight="true" outlineLevel="0" collapsed="false">
      <c r="A12" s="60"/>
      <c r="B12" s="63"/>
      <c r="C12" s="60"/>
      <c r="D12" s="60"/>
      <c r="E12" s="60"/>
      <c r="F12" s="60"/>
      <c r="G12" s="60"/>
      <c r="H12" s="60"/>
      <c r="I12" s="60"/>
      <c r="J12" s="60"/>
    </row>
    <row r="13" customFormat="false" ht="15" hidden="false" customHeight="true" outlineLevel="0" collapsed="false">
      <c r="A13" s="60"/>
      <c r="B13" s="63"/>
      <c r="C13" s="60"/>
      <c r="D13" s="60"/>
      <c r="E13" s="60"/>
      <c r="F13" s="60"/>
      <c r="G13" s="60"/>
      <c r="H13" s="60"/>
      <c r="I13" s="60"/>
      <c r="J13" s="60"/>
    </row>
    <row r="14" customFormat="false" ht="15" hidden="false" customHeight="true" outlineLevel="0" collapsed="false">
      <c r="A14" s="60"/>
      <c r="B14" s="63"/>
      <c r="C14" s="60"/>
      <c r="D14" s="60"/>
      <c r="E14" s="60"/>
      <c r="F14" s="60"/>
      <c r="G14" s="60"/>
      <c r="H14" s="60"/>
      <c r="I14" s="60"/>
      <c r="J14" s="60"/>
    </row>
    <row r="15" customFormat="false" ht="15" hidden="false" customHeight="true" outlineLevel="0" collapsed="false">
      <c r="A15" s="60"/>
      <c r="B15" s="63"/>
      <c r="C15" s="60"/>
      <c r="D15" s="60"/>
      <c r="E15" s="60"/>
      <c r="F15" s="60"/>
      <c r="G15" s="60"/>
      <c r="H15" s="60"/>
      <c r="I15" s="60"/>
      <c r="J15" s="60"/>
    </row>
    <row r="16" customFormat="false" ht="15" hidden="false" customHeight="true" outlineLevel="0" collapsed="false">
      <c r="A16" s="60"/>
      <c r="B16" s="63"/>
      <c r="C16" s="60"/>
      <c r="D16" s="60"/>
      <c r="E16" s="60"/>
      <c r="F16" s="60"/>
      <c r="G16" s="60"/>
      <c r="H16" s="60"/>
      <c r="I16" s="60"/>
      <c r="J16" s="60"/>
    </row>
    <row r="17" customFormat="false" ht="15" hidden="false" customHeight="true" outlineLevel="0" collapsed="false">
      <c r="A17" s="60"/>
      <c r="B17" s="63"/>
      <c r="C17" s="60"/>
      <c r="D17" s="60"/>
      <c r="E17" s="60"/>
      <c r="F17" s="60"/>
      <c r="G17" s="60"/>
      <c r="H17" s="60"/>
      <c r="I17" s="60"/>
      <c r="J17" s="60"/>
    </row>
    <row r="18" customFormat="false" ht="15" hidden="false" customHeight="true" outlineLevel="0" collapsed="false">
      <c r="A18" s="60"/>
      <c r="B18" s="63"/>
      <c r="C18" s="60"/>
      <c r="D18" s="60"/>
      <c r="E18" s="60"/>
      <c r="F18" s="60"/>
      <c r="G18" s="60"/>
      <c r="H18" s="60"/>
      <c r="I18" s="60"/>
      <c r="J18" s="60"/>
    </row>
    <row r="19" customFormat="false" ht="15" hidden="false" customHeight="true" outlineLevel="0" collapsed="false">
      <c r="A19" s="60"/>
      <c r="B19" s="63"/>
      <c r="C19" s="60"/>
      <c r="D19" s="60"/>
      <c r="E19" s="60"/>
      <c r="F19" s="60"/>
      <c r="G19" s="60"/>
      <c r="H19" s="60"/>
      <c r="I19" s="60"/>
      <c r="J19" s="60"/>
    </row>
    <row r="20" customFormat="false" ht="15" hidden="false" customHeight="true" outlineLevel="0" collapsed="false">
      <c r="A20" s="60"/>
      <c r="B20" s="63"/>
      <c r="C20" s="60"/>
      <c r="D20" s="60"/>
      <c r="E20" s="60"/>
      <c r="F20" s="60"/>
      <c r="G20" s="60"/>
      <c r="H20" s="60"/>
      <c r="I20" s="60"/>
      <c r="J20" s="60"/>
    </row>
    <row r="21" customFormat="false" ht="15" hidden="false" customHeight="true" outlineLevel="0" collapsed="false">
      <c r="A21" s="60"/>
      <c r="B21" s="63"/>
      <c r="C21" s="60"/>
      <c r="D21" s="60"/>
      <c r="E21" s="60"/>
      <c r="F21" s="60"/>
      <c r="G21" s="60"/>
      <c r="H21" s="60"/>
      <c r="I21" s="60"/>
      <c r="J21" s="60"/>
    </row>
    <row r="22" customFormat="false" ht="15" hidden="false" customHeight="true" outlineLevel="0" collapsed="false">
      <c r="A22" s="60"/>
      <c r="B22" s="63"/>
      <c r="C22" s="60"/>
      <c r="D22" s="60"/>
      <c r="E22" s="60"/>
      <c r="F22" s="60"/>
      <c r="G22" s="60"/>
      <c r="H22" s="60"/>
      <c r="I22" s="60"/>
      <c r="J22" s="60"/>
    </row>
    <row r="23" customFormat="false" ht="15" hidden="false" customHeight="true" outlineLevel="0" collapsed="false">
      <c r="A23" s="60"/>
      <c r="B23" s="63"/>
      <c r="C23" s="60"/>
      <c r="D23" s="60"/>
      <c r="E23" s="60"/>
      <c r="F23" s="60"/>
      <c r="G23" s="60"/>
      <c r="H23" s="60"/>
      <c r="I23" s="60"/>
      <c r="J23" s="60"/>
    </row>
    <row r="24" customFormat="false" ht="15" hidden="false" customHeight="true" outlineLevel="0" collapsed="false">
      <c r="A24" s="60"/>
      <c r="B24" s="63"/>
      <c r="C24" s="60"/>
      <c r="D24" s="60"/>
      <c r="E24" s="60"/>
      <c r="F24" s="60"/>
      <c r="G24" s="60"/>
      <c r="H24" s="60"/>
      <c r="I24" s="60"/>
      <c r="J24" s="60"/>
    </row>
    <row r="25" customFormat="false" ht="15" hidden="false" customHeight="true" outlineLevel="0" collapsed="false">
      <c r="A25" s="60"/>
      <c r="B25" s="63"/>
      <c r="C25" s="60"/>
      <c r="D25" s="60"/>
      <c r="E25" s="60"/>
      <c r="F25" s="60"/>
      <c r="G25" s="60"/>
      <c r="H25" s="60"/>
      <c r="I25" s="60"/>
      <c r="J25" s="60"/>
    </row>
    <row r="26" customFormat="false" ht="15" hidden="false" customHeight="true" outlineLevel="0" collapsed="false">
      <c r="A26" s="60"/>
      <c r="B26" s="63"/>
      <c r="C26" s="60"/>
      <c r="D26" s="60"/>
      <c r="E26" s="60"/>
      <c r="F26" s="60"/>
      <c r="G26" s="60"/>
      <c r="H26" s="60"/>
      <c r="I26" s="60"/>
      <c r="J26" s="60"/>
    </row>
    <row r="27" customFormat="false" ht="15" hidden="false" customHeight="true" outlineLevel="0" collapsed="false">
      <c r="A27" s="60"/>
      <c r="B27" s="63"/>
      <c r="C27" s="60"/>
      <c r="D27" s="60"/>
      <c r="E27" s="60"/>
      <c r="F27" s="60"/>
      <c r="G27" s="60"/>
      <c r="H27" s="60"/>
      <c r="I27" s="60"/>
      <c r="J27" s="60"/>
    </row>
    <row r="28" customFormat="false" ht="15" hidden="false" customHeight="true" outlineLevel="0" collapsed="false">
      <c r="A28" s="60"/>
      <c r="B28" s="63"/>
      <c r="C28" s="60"/>
      <c r="D28" s="60"/>
      <c r="E28" s="60"/>
      <c r="F28" s="60"/>
      <c r="G28" s="60"/>
      <c r="H28" s="60"/>
      <c r="I28" s="60"/>
      <c r="J28" s="60"/>
    </row>
    <row r="29" customFormat="false" ht="15" hidden="false" customHeight="true" outlineLevel="0" collapsed="false">
      <c r="A29" s="60"/>
      <c r="B29" s="63"/>
      <c r="C29" s="60"/>
      <c r="D29" s="60"/>
      <c r="E29" s="60"/>
      <c r="F29" s="60"/>
      <c r="G29" s="60"/>
      <c r="H29" s="60"/>
      <c r="I29" s="60"/>
      <c r="J29" s="60"/>
    </row>
    <row r="30" customFormat="false" ht="15" hidden="false" customHeight="true" outlineLevel="0" collapsed="false">
      <c r="A30" s="60"/>
      <c r="B30" s="63"/>
      <c r="C30" s="60"/>
      <c r="D30" s="60"/>
      <c r="E30" s="60"/>
      <c r="F30" s="60"/>
      <c r="G30" s="60"/>
      <c r="H30" s="60"/>
      <c r="I30" s="60"/>
      <c r="J30" s="60"/>
    </row>
    <row r="31" customFormat="false" ht="15" hidden="false" customHeight="true" outlineLevel="0" collapsed="false">
      <c r="A31" s="60"/>
      <c r="B31" s="63"/>
      <c r="C31" s="60"/>
      <c r="D31" s="60"/>
      <c r="E31" s="60"/>
      <c r="F31" s="60"/>
      <c r="G31" s="60"/>
      <c r="H31" s="60"/>
      <c r="I31" s="60"/>
      <c r="J31" s="60"/>
    </row>
    <row r="32" customFormat="false" ht="15" hidden="false" customHeight="true" outlineLevel="0" collapsed="false">
      <c r="A32" s="60"/>
      <c r="B32" s="63"/>
      <c r="C32" s="60"/>
      <c r="D32" s="60"/>
      <c r="E32" s="60"/>
      <c r="F32" s="60"/>
      <c r="G32" s="60"/>
      <c r="H32" s="60"/>
      <c r="I32" s="60"/>
      <c r="J32" s="60"/>
    </row>
    <row r="33" customFormat="false" ht="15" hidden="false" customHeight="true" outlineLevel="0" collapsed="false">
      <c r="A33" s="60"/>
      <c r="B33" s="63"/>
      <c r="C33" s="60"/>
      <c r="D33" s="60"/>
      <c r="E33" s="60"/>
      <c r="F33" s="60"/>
      <c r="G33" s="60"/>
      <c r="H33" s="60"/>
      <c r="I33" s="60"/>
      <c r="J33" s="60"/>
    </row>
    <row r="34" customFormat="false" ht="15" hidden="false" customHeight="true" outlineLevel="0" collapsed="false">
      <c r="A34" s="60"/>
      <c r="B34" s="63"/>
      <c r="C34" s="60"/>
      <c r="D34" s="60"/>
      <c r="E34" s="60"/>
      <c r="F34" s="60"/>
      <c r="G34" s="60"/>
      <c r="H34" s="60"/>
      <c r="I34" s="60"/>
      <c r="J34" s="60"/>
    </row>
    <row r="35" customFormat="false" ht="15" hidden="false" customHeight="true" outlineLevel="0" collapsed="false">
      <c r="A35" s="60"/>
      <c r="B35" s="63"/>
      <c r="C35" s="60"/>
      <c r="D35" s="60"/>
      <c r="E35" s="60"/>
      <c r="F35" s="60"/>
      <c r="G35" s="60"/>
      <c r="H35" s="60"/>
      <c r="I35" s="60"/>
      <c r="J35" s="60"/>
    </row>
    <row r="36" customFormat="false" ht="15" hidden="false" customHeight="true" outlineLevel="0" collapsed="false">
      <c r="A36" s="60"/>
      <c r="B36" s="63"/>
      <c r="C36" s="60"/>
      <c r="D36" s="60"/>
      <c r="E36" s="60"/>
      <c r="F36" s="60"/>
      <c r="G36" s="60"/>
      <c r="H36" s="60"/>
      <c r="I36" s="60"/>
      <c r="J36" s="60"/>
    </row>
    <row r="37" customFormat="false" ht="15" hidden="false" customHeight="true" outlineLevel="0" collapsed="false">
      <c r="A37" s="60"/>
      <c r="B37" s="63"/>
      <c r="C37" s="60"/>
      <c r="D37" s="60"/>
      <c r="E37" s="60"/>
      <c r="F37" s="60"/>
      <c r="G37" s="60"/>
      <c r="H37" s="60"/>
      <c r="I37" s="60"/>
      <c r="J37" s="60"/>
    </row>
    <row r="38" customFormat="false" ht="15" hidden="false" customHeight="true" outlineLevel="0" collapsed="false">
      <c r="A38" s="60"/>
      <c r="B38" s="63"/>
      <c r="C38" s="60"/>
      <c r="D38" s="60"/>
      <c r="E38" s="60"/>
      <c r="F38" s="60"/>
      <c r="G38" s="60"/>
      <c r="H38" s="60"/>
      <c r="I38" s="60"/>
      <c r="J38" s="60"/>
    </row>
    <row r="39" customFormat="false" ht="15" hidden="false" customHeight="true" outlineLevel="0" collapsed="false">
      <c r="A39" s="60"/>
      <c r="B39" s="63"/>
      <c r="C39" s="60"/>
      <c r="D39" s="60"/>
      <c r="E39" s="60"/>
      <c r="F39" s="60"/>
      <c r="G39" s="60"/>
      <c r="H39" s="60"/>
      <c r="I39" s="60"/>
      <c r="J39" s="60"/>
    </row>
    <row r="40" customFormat="false" ht="15" hidden="false" customHeight="true" outlineLevel="0" collapsed="false">
      <c r="A40" s="60"/>
      <c r="B40" s="63"/>
      <c r="C40" s="60"/>
      <c r="D40" s="60"/>
      <c r="E40" s="60"/>
      <c r="F40" s="60"/>
      <c r="G40" s="60"/>
      <c r="H40" s="60"/>
      <c r="I40" s="60"/>
      <c r="J40" s="60"/>
    </row>
    <row r="41" customFormat="false" ht="15" hidden="false" customHeight="true" outlineLevel="0" collapsed="false">
      <c r="A41" s="60"/>
      <c r="B41" s="63"/>
      <c r="C41" s="60"/>
      <c r="D41" s="60"/>
      <c r="E41" s="60"/>
      <c r="F41" s="60"/>
      <c r="G41" s="60"/>
      <c r="H41" s="60"/>
      <c r="I41" s="60"/>
      <c r="J41" s="60"/>
    </row>
    <row r="42" customFormat="false" ht="15" hidden="false" customHeight="true" outlineLevel="0" collapsed="false">
      <c r="A42" s="60"/>
      <c r="B42" s="63"/>
      <c r="C42" s="60"/>
      <c r="D42" s="60"/>
      <c r="E42" s="60"/>
      <c r="F42" s="60"/>
      <c r="G42" s="60"/>
      <c r="H42" s="60"/>
      <c r="I42" s="60"/>
      <c r="J42" s="60"/>
    </row>
    <row r="43" customFormat="false" ht="15" hidden="false" customHeight="true" outlineLevel="0" collapsed="false">
      <c r="A43" s="60"/>
      <c r="B43" s="63"/>
      <c r="C43" s="60"/>
      <c r="D43" s="60"/>
      <c r="E43" s="60"/>
      <c r="F43" s="60"/>
      <c r="G43" s="60"/>
      <c r="H43" s="60"/>
      <c r="I43" s="60"/>
      <c r="J43" s="60"/>
    </row>
    <row r="44" customFormat="false" ht="15" hidden="false" customHeight="true" outlineLevel="0" collapsed="false">
      <c r="A44" s="60"/>
      <c r="B44" s="63"/>
      <c r="C44" s="60"/>
      <c r="D44" s="60"/>
      <c r="E44" s="60"/>
      <c r="F44" s="60"/>
      <c r="G44" s="60"/>
      <c r="H44" s="60"/>
      <c r="I44" s="60"/>
      <c r="J44" s="60"/>
    </row>
    <row r="45" customFormat="false" ht="15" hidden="false" customHeight="true" outlineLevel="0" collapsed="false">
      <c r="A45" s="60"/>
      <c r="B45" s="63"/>
      <c r="C45" s="60"/>
      <c r="D45" s="60"/>
      <c r="E45" s="60"/>
      <c r="F45" s="60"/>
      <c r="G45" s="60"/>
      <c r="H45" s="60"/>
      <c r="I45" s="60"/>
      <c r="J45" s="60"/>
    </row>
    <row r="46" customFormat="false" ht="15" hidden="false" customHeight="true" outlineLevel="0" collapsed="false">
      <c r="A46" s="60"/>
      <c r="B46" s="63"/>
      <c r="C46" s="60"/>
      <c r="D46" s="60"/>
      <c r="E46" s="60"/>
      <c r="F46" s="60"/>
      <c r="G46" s="60"/>
      <c r="H46" s="60"/>
      <c r="I46" s="60"/>
      <c r="J46" s="60"/>
    </row>
    <row r="47" customFormat="false" ht="15" hidden="false" customHeight="true" outlineLevel="0" collapsed="false">
      <c r="A47" s="60"/>
      <c r="B47" s="63"/>
      <c r="C47" s="60"/>
      <c r="D47" s="60"/>
      <c r="E47" s="60"/>
      <c r="F47" s="60"/>
      <c r="G47" s="60"/>
      <c r="H47" s="60"/>
      <c r="I47" s="60"/>
      <c r="J47" s="60"/>
    </row>
    <row r="48" customFormat="false" ht="15" hidden="false" customHeight="true" outlineLevel="0" collapsed="false">
      <c r="A48" s="60"/>
      <c r="B48" s="63"/>
      <c r="C48" s="60"/>
      <c r="D48" s="60"/>
      <c r="E48" s="60"/>
      <c r="F48" s="60"/>
      <c r="G48" s="60"/>
      <c r="H48" s="60"/>
      <c r="I48" s="60"/>
      <c r="J48" s="60"/>
    </row>
    <row r="49" customFormat="false" ht="15" hidden="false" customHeight="true" outlineLevel="0" collapsed="false">
      <c r="A49" s="60"/>
      <c r="B49" s="63"/>
      <c r="C49" s="60"/>
      <c r="D49" s="60"/>
      <c r="E49" s="60"/>
      <c r="F49" s="60"/>
      <c r="G49" s="60"/>
      <c r="H49" s="60"/>
      <c r="I49" s="60"/>
      <c r="J49" s="60"/>
    </row>
    <row r="50" customFormat="false" ht="15" hidden="false" customHeight="true" outlineLevel="0" collapsed="false">
      <c r="A50" s="60"/>
      <c r="B50" s="63"/>
      <c r="C50" s="60"/>
      <c r="D50" s="60"/>
      <c r="E50" s="60"/>
      <c r="F50" s="60"/>
      <c r="G50" s="60"/>
      <c r="H50" s="60"/>
      <c r="I50" s="60"/>
      <c r="J50" s="60"/>
    </row>
    <row r="51" customFormat="false" ht="15" hidden="false" customHeight="true" outlineLevel="0" collapsed="false">
      <c r="A51" s="60"/>
      <c r="B51" s="63"/>
      <c r="C51" s="60"/>
      <c r="D51" s="60"/>
      <c r="E51" s="60"/>
      <c r="F51" s="60"/>
      <c r="G51" s="60"/>
      <c r="H51" s="60"/>
      <c r="I51" s="60"/>
      <c r="J51" s="60"/>
    </row>
    <row r="52" customFormat="false" ht="15" hidden="false" customHeight="true" outlineLevel="0" collapsed="false">
      <c r="A52" s="60"/>
      <c r="B52" s="63"/>
      <c r="C52" s="60"/>
      <c r="D52" s="60"/>
      <c r="E52" s="60"/>
      <c r="F52" s="60"/>
      <c r="G52" s="60"/>
      <c r="H52" s="60"/>
      <c r="I52" s="60"/>
      <c r="J52" s="60"/>
    </row>
    <row r="53" customFormat="false" ht="15" hidden="false" customHeight="true" outlineLevel="0" collapsed="false">
      <c r="A53" s="60"/>
      <c r="B53" s="63"/>
      <c r="C53" s="60"/>
      <c r="D53" s="60"/>
      <c r="E53" s="60"/>
      <c r="F53" s="60"/>
      <c r="G53" s="60"/>
      <c r="H53" s="60"/>
      <c r="I53" s="60"/>
      <c r="J53" s="60"/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D4:D53" type="list">
      <formula1>"Qualification,Final"</formula1>
      <formula2>0</formula2>
    </dataValidation>
    <dataValidation allowBlank="true" errorStyle="stop" operator="between" showDropDown="false" showErrorMessage="false" showInputMessage="false" sqref="J4:J53" type="list">
      <formula1>"official,provisional"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6"/>
    <col collapsed="false" customWidth="true" hidden="false" outlineLevel="0" max="11" min="9" style="1" width="12"/>
    <col collapsed="false" customWidth="true" hidden="false" outlineLevel="0" max="26" min="12" style="1" width="8.71"/>
  </cols>
  <sheetData>
    <row r="1" customFormat="false" ht="25.5" hidden="false" customHeight="true" outlineLevel="0" collapsed="false">
      <c r="A1" s="64" t="s">
        <v>168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customFormat="false" ht="15" hidden="false" customHeight="true" outlineLevel="0" collapsed="false">
      <c r="A2" s="65" t="s">
        <v>169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customFormat="false" ht="15" hidden="false" customHeight="true" outlineLevel="0" collapsed="false"/>
    <row r="4" customFormat="false" ht="15" hidden="false" customHeight="true" outlineLevel="0" collapsed="false">
      <c r="A4" s="66" t="s">
        <v>170</v>
      </c>
      <c r="B4" s="60" t="s">
        <v>110</v>
      </c>
      <c r="D4" s="66" t="s">
        <v>171</v>
      </c>
      <c r="E4" s="60" t="s">
        <v>81</v>
      </c>
      <c r="G4" s="66" t="s">
        <v>172</v>
      </c>
      <c r="H4" s="60" t="n">
        <v>2026</v>
      </c>
    </row>
    <row r="5" customFormat="false" ht="15" hidden="false" customHeight="true" outlineLevel="0" collapsed="false"/>
    <row r="6" customFormat="false" ht="15" hidden="false" customHeight="true" outlineLevel="0" collapsed="false">
      <c r="A6" s="39" t="s">
        <v>173</v>
      </c>
      <c r="B6" s="67" t="s">
        <v>174</v>
      </c>
      <c r="C6" s="67" t="s">
        <v>175</v>
      </c>
      <c r="D6" s="68" t="s">
        <v>176</v>
      </c>
      <c r="E6" s="68" t="s">
        <v>177</v>
      </c>
    </row>
    <row r="7" customFormat="false" ht="15" hidden="false" customHeight="true" outlineLevel="0" collapsed="false">
      <c r="A7" s="69" t="s">
        <v>178</v>
      </c>
      <c r="B7" s="70" t="n">
        <f aca="false">COUNTIFS(AllScores!$I$2:$I$301,1,AllScores!$B$2:$B$301,$E$4,AllScores!$C$2:$C$301,$B$4)</f>
        <v>1</v>
      </c>
      <c r="C7" s="71" t="n">
        <f aca="false">COUNTIFS(AllScores!$I$2:$I$301,1,AllScores!$B$2:$B$301,$E$4,AllScores!$C$2:$C$301,$B$4)</f>
        <v>1</v>
      </c>
      <c r="D7" s="70" t="n">
        <f aca="false">COUNTIFS(AllScores!$I$2:$I$301,1,AllScores!$B$2:$B$301,$E$4,AllScores!$C$2:$C$301,$B$4,AllScores!$H$2:$H$301,$H$4)</f>
        <v>1</v>
      </c>
      <c r="E7" s="71" t="n">
        <f aca="false">COUNTIFS(AllScores!$I$2:$I$301,1,AllScores!$B$2:$B$301,$E$4,AllScores!$C$2:$C$301,$B$4,AllScores!$H$2:$H$301,$H$4)</f>
        <v>1</v>
      </c>
    </row>
    <row r="8" customFormat="false" ht="15" hidden="false" customHeight="true" outlineLevel="0" collapsed="false">
      <c r="A8" s="72" t="s">
        <v>179</v>
      </c>
      <c r="B8" s="73" t="str">
        <f aca="false">IFERROR(SUMPRODUCT(MAX(((AllScores!$B$2:$B$301=$E$4)*(AllScores!$C$2:$C$301=$B$4)*(AllScores!$I$2:$I$301=1))*AllScores!$F$2:$F$301)),"")</f>
        <v/>
      </c>
      <c r="C8" s="74" t="str">
        <f aca="false">IFERROR(SUMPRODUCT(MAX(((AllScores!$B$2:$B$301=$E$4)*(AllScores!$C$2:$C$301=$B$4)*(AllScores!$I$2:$I$301=1))*AllScores!$G$2:$G$301)),"")</f>
        <v/>
      </c>
      <c r="D8" s="73" t="str">
        <f aca="false">IFERROR(SUMPRODUCT(MAX(((AllScores!$B$2:$B$301=$E$4)*(AllScores!$C$2:$C$301=$B$4)*(AllScores!$I$2:$I$301=1)*(AllScores!$H$2:$H$301=$H$4))*AllScores!$F$2:$F$301)),"")</f>
        <v/>
      </c>
      <c r="E8" s="74" t="str">
        <f aca="false">IFERROR(SUMPRODUCT(MAX(((AllScores!$B$2:$B$301=$E$4)*(AllScores!$C$2:$C$301=$B$4)*(AllScores!$I$2:$I$301=1)*(AllScores!$H$2:$H$301=$H$4))*AllScores!$G$2:$G$301)),"")</f>
        <v/>
      </c>
    </row>
    <row r="9" customFormat="false" ht="15" hidden="false" customHeight="true" outlineLevel="0" collapsed="false">
      <c r="A9" s="69" t="s">
        <v>180</v>
      </c>
      <c r="B9" s="70" t="n">
        <f aca="false">IFERROR(AVERAGEIFS(AllScores!$F$2:$F$301,AllScores!$B$2:$B$301,$E$4,AllScores!$C$2:$C$301,$B$4,AllScores!$I$2:$I$301,1),"")</f>
        <v>600.4</v>
      </c>
      <c r="C9" s="71" t="n">
        <f aca="false">IFERROR(AVERAGEIFS(AllScores!$G$2:$G$301,AllScores!$B$2:$B$301,$E$4,AllScores!$C$2:$C$301,$B$4,AllScores!$I$2:$I$301,1),"")</f>
        <v>567</v>
      </c>
      <c r="D9" s="70" t="n">
        <f aca="false">IFERROR(AVERAGEIFS(AllScores!$F$2:$F$301,AllScores!$B$2:$B$301,$E$4,AllScores!$C$2:$C$301,$B$4,AllScores!$I$2:$I$301,1,AllScores!$H$2:$H$301,$H$4),"")</f>
        <v>600.4</v>
      </c>
      <c r="E9" s="71" t="n">
        <f aca="false">IFERROR(AVERAGEIFS(AllScores!$G$2:$G$301,AllScores!$B$2:$B$301,$E$4,AllScores!$C$2:$C$301,$B$4,AllScores!$I$2:$I$301,1,AllScores!$H$2:$H$301,$H$4),"")</f>
        <v>567</v>
      </c>
    </row>
    <row r="10" customFormat="false" ht="15" hidden="false" customHeight="true" outlineLevel="0" collapsed="false">
      <c r="A10" s="69" t="s">
        <v>181</v>
      </c>
      <c r="B10" s="70" t="str">
        <f aca="false">IFERROR(SUMPRODUCT(MIN(AllScores!$F$2:$F$301+(1-((AllScores!$B$2:$B$301=$E$4)*(AllScores!$C$2:$C$301=$B$4)*(AllScores!$I$2:$I$301=1)))*1000000)),"")</f>
        <v/>
      </c>
      <c r="C10" s="71" t="str">
        <f aca="false">IFERROR(SUMPRODUCT(MIN(AllScores!$G$2:$G$301+(1-((AllScores!$B$2:$B$301=$E$4)*(AllScores!$C$2:$C$301=$B$4)*(AllScores!$I$2:$I$301=1)))*1000000)),"")</f>
        <v/>
      </c>
      <c r="D10" s="70" t="str">
        <f aca="false">IFERROR(SUMPRODUCT(MIN(AllScores!$F$2:$F$301+(1-((AllScores!$B$2:$B$301=$E$4)*(AllScores!$C$2:$C$301=$B$4)*(AllScores!$I$2:$I$301=1)*(AllScores!$H$2:$H$301=$H$4)))*1000000)),"")</f>
        <v/>
      </c>
      <c r="E10" s="71" t="str">
        <f aca="false">IFERROR(SUMPRODUCT(MIN(AllScores!$G$2:$G$301+(1-((AllScores!$B$2:$B$301=$E$4)*(AllScores!$C$2:$C$301=$B$4)*(AllScores!$I$2:$I$301=1)*(AllScores!$H$2:$H$301=$H$4)))*1000000)),"")</f>
        <v/>
      </c>
    </row>
    <row r="11" customFormat="false" ht="15" hidden="false" customHeight="true" outlineLevel="0" collapsed="false"/>
    <row r="12" customFormat="false" ht="15" hidden="false" customHeight="true" outlineLevel="0" collapsed="false">
      <c r="A12" s="75" t="s">
        <v>182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</row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K1"/>
    <mergeCell ref="A2:K2"/>
    <mergeCell ref="A12:K12"/>
  </mergeCells>
  <dataValidations count="2">
    <dataValidation allowBlank="true" errorStyle="stop" operator="between" showDropDown="false" showErrorMessage="false" showInputMessage="false" sqref="B4" type="list">
      <formula1>Members!$A$2:$A$16</formula1>
      <formula2>0</formula2>
    </dataValidation>
    <dataValidation allowBlank="true" errorStyle="stop" operator="between" showDropDown="false" showErrorMessage="false" showInputMessage="false" sqref="E4" type="list">
      <formula1>"prone_50m,fclass_open,fclass_tr,three_position_50m"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2"/>
    <col collapsed="false" customWidth="true" hidden="false" outlineLevel="0" max="4" min="4" style="1" width="20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13"/>
    <col collapsed="false" customWidth="true" hidden="false" outlineLevel="0" max="26" min="9" style="1" width="8.71"/>
  </cols>
  <sheetData>
    <row r="1" customFormat="false" ht="25.5" hidden="false" customHeight="true" outlineLevel="0" collapsed="false">
      <c r="A1" s="64" t="s">
        <v>183</v>
      </c>
      <c r="B1" s="64"/>
      <c r="C1" s="64"/>
      <c r="D1" s="64"/>
      <c r="E1" s="64"/>
      <c r="F1" s="64"/>
      <c r="G1" s="64"/>
      <c r="H1" s="64"/>
    </row>
    <row r="2" customFormat="false" ht="15" hidden="false" customHeight="true" outlineLevel="0" collapsed="false">
      <c r="A2" s="76" t="s">
        <v>184</v>
      </c>
      <c r="B2" s="76"/>
      <c r="C2" s="76"/>
      <c r="D2" s="76"/>
      <c r="E2" s="76"/>
      <c r="F2" s="76"/>
      <c r="G2" s="76"/>
      <c r="H2" s="76"/>
    </row>
    <row r="3" customFormat="false" ht="15" hidden="false" customHeight="true" outlineLevel="0" collapsed="false"/>
    <row r="4" customFormat="false" ht="15" hidden="false" customHeight="true" outlineLevel="0" collapsed="false">
      <c r="A4" s="39" t="s">
        <v>55</v>
      </c>
      <c r="B4" s="39" t="s">
        <v>65</v>
      </c>
      <c r="C4" s="39" t="s">
        <v>185</v>
      </c>
      <c r="D4" s="39" t="s">
        <v>186</v>
      </c>
      <c r="E4" s="39" t="s">
        <v>187</v>
      </c>
      <c r="F4" s="39" t="s">
        <v>188</v>
      </c>
      <c r="G4" s="39" t="s">
        <v>189</v>
      </c>
      <c r="H4" s="39" t="s">
        <v>190</v>
      </c>
    </row>
    <row r="5" customFormat="false" ht="15" hidden="false" customHeight="true" outlineLevel="0" collapsed="false">
      <c r="A5" s="77" t="s">
        <v>81</v>
      </c>
      <c r="B5" s="77" t="s">
        <v>67</v>
      </c>
      <c r="C5" s="78" t="str">
        <f aca="false">IFERROR(IF(SUMPRODUCT((AllScores!$B$2:$B$301=$A5)*(AllScores!$E$2:$E$301=$B5)*(AllScores!$I$2:$I$301=1))=0,"",IF(SUMPRODUCT(MAX(((AllScores!$B$2:$B$301=$A5)*(AllScores!$E$2:$E$301=$B5)*(AllScores!$I$2:$I$301=1))*AllScores!$F$2:$F$301))=0,"",SUMPRODUCT(MAX(((AllScores!$B$2:$B$301=$A5)*(AllScores!$E$2:$E$301=$B5)*(AllScores!$I$2:$I$301=1))*AllScores!$F$2:$F$301)))),"")</f>
        <v/>
      </c>
      <c r="D5" s="79" t="str">
        <f aca="false" t="array" ref="D5:D5">IF($C5="","",IFERROR(INDEX(AllScores!$C$2:$C$301,SUMPRODUCT(((AllScores!$B$2:$B$301=$A5)*(AllScores!$E$2:$E$301=$B5)*(AllScores!$I$2:$I$301=1))*(AllScores!$F$2:$F$301=$C5)*(ROW(AllScores!$F$2:$F$301)-1))),""))</f>
        <v/>
      </c>
      <c r="E5" s="80" t="str">
        <f aca="false" t="array" ref="E5:E5">IF($C5="","",IFERROR(INDEX(AllScores!$A$2:$A$301,SUMPRODUCT(((AllScores!$B$2:$B$301=$A5)*(AllScores!$E$2:$E$301=$B5)*(AllScores!$I$2:$I$301=1))*(AllScores!$F$2:$F$301=$C5)*(ROW(AllScores!$A$2:$A$301)-1))),""))</f>
        <v/>
      </c>
      <c r="F5" s="81" t="str">
        <f aca="false">IFERROR(IF(SUMPRODUCT((AllScores!$B$2:$B$301=$A5)*(AllScores!$E$2:$E$301=$B5)*(AllScores!$I$2:$I$301=1))=0,"",IF(SUMPRODUCT(MAX(((AllScores!$B$2:$B$301=$A5)*(AllScores!$E$2:$E$301=$B5)*(AllScores!$I$2:$I$301=1))*AllScores!$G$2:$G$301))=0,"",SUMPRODUCT(MAX(((AllScores!$B$2:$B$301=$A5)*(AllScores!$E$2:$E$301=$B5)*(AllScores!$I$2:$I$301=1))*AllScores!$G$2:$G$301)))),"")</f>
        <v/>
      </c>
      <c r="G5" s="79" t="str">
        <f aca="false" t="array" ref="G5:G5">IF($F5="","",IFERROR(INDEX(AllScores!$C$2:$C$301,SUMPRODUCT(((AllScores!$B$2:$B$301=$A5)*(AllScores!$E$2:$E$301=$B5)*(AllScores!$I$2:$I$301=1))*(AllScores!$G$2:$G$301=$F5)*(ROW(AllScores!$G$2:$G$301)-1))),""))</f>
        <v/>
      </c>
      <c r="H5" s="80" t="str">
        <f aca="false" t="array" ref="H5:H5">IF($F5="","",IFERROR(INDEX(AllScores!$A$2:$A$301,SUMPRODUCT(((AllScores!$B$2:$B$301=$A5)*(AllScores!$E$2:$E$301=$B5)*(AllScores!$I$2:$I$301=1))*(AllScores!$G$2:$G$301=$F5)*(ROW(AllScores!$A$2:$A$301)-1))),""))</f>
        <v/>
      </c>
    </row>
    <row r="6" customFormat="false" ht="15" hidden="false" customHeight="true" outlineLevel="0" collapsed="false">
      <c r="A6" s="77" t="s">
        <v>81</v>
      </c>
      <c r="B6" s="77" t="s">
        <v>68</v>
      </c>
      <c r="C6" s="78" t="str">
        <f aca="false">IFERROR(IF(SUMPRODUCT((AllScores!$B$2:$B$301=$A6)*(AllScores!$E$2:$E$301=$B6)*(AllScores!$I$2:$I$301=1))=0,"",IF(SUMPRODUCT(MAX(((AllScores!$B$2:$B$301=$A6)*(AllScores!$E$2:$E$301=$B6)*(AllScores!$I$2:$I$301=1))*AllScores!$F$2:$F$301))=0,"",SUMPRODUCT(MAX(((AllScores!$B$2:$B$301=$A6)*(AllScores!$E$2:$E$301=$B6)*(AllScores!$I$2:$I$301=1))*AllScores!$F$2:$F$301)))),"")</f>
        <v/>
      </c>
      <c r="D6" s="79" t="str">
        <f aca="false" t="array" ref="D6:D6">IF($C6="","",IFERROR(INDEX(AllScores!$C$2:$C$301,SUMPRODUCT(((AllScores!$B$2:$B$301=$A6)*(AllScores!$E$2:$E$301=$B6)*(AllScores!$I$2:$I$301=1))*(AllScores!$F$2:$F$301=$C6)*(ROW(AllScores!$F$2:$F$301)-1))),""))</f>
        <v/>
      </c>
      <c r="E6" s="80" t="str">
        <f aca="false" t="array" ref="E6:E6">IF($C6="","",IFERROR(INDEX(AllScores!$A$2:$A$301,SUMPRODUCT(((AllScores!$B$2:$B$301=$A6)*(AllScores!$E$2:$E$301=$B6)*(AllScores!$I$2:$I$301=1))*(AllScores!$F$2:$F$301=$C6)*(ROW(AllScores!$A$2:$A$301)-1))),""))</f>
        <v/>
      </c>
      <c r="F6" s="81" t="str">
        <f aca="false">IFERROR(IF(SUMPRODUCT((AllScores!$B$2:$B$301=$A6)*(AllScores!$E$2:$E$301=$B6)*(AllScores!$I$2:$I$301=1))=0,"",IF(SUMPRODUCT(MAX(((AllScores!$B$2:$B$301=$A6)*(AllScores!$E$2:$E$301=$B6)*(AllScores!$I$2:$I$301=1))*AllScores!$G$2:$G$301))=0,"",SUMPRODUCT(MAX(((AllScores!$B$2:$B$301=$A6)*(AllScores!$E$2:$E$301=$B6)*(AllScores!$I$2:$I$301=1))*AllScores!$G$2:$G$301)))),"")</f>
        <v/>
      </c>
      <c r="G6" s="79" t="str">
        <f aca="false" t="array" ref="G6:G6">IF($F6="","",IFERROR(INDEX(AllScores!$C$2:$C$301,SUMPRODUCT(((AllScores!$B$2:$B$301=$A6)*(AllScores!$E$2:$E$301=$B6)*(AllScores!$I$2:$I$301=1))*(AllScores!$G$2:$G$301=$F6)*(ROW(AllScores!$G$2:$G$301)-1))),""))</f>
        <v/>
      </c>
      <c r="H6" s="80" t="str">
        <f aca="false" t="array" ref="H6:H6">IF($F6="","",IFERROR(INDEX(AllScores!$A$2:$A$301,SUMPRODUCT(((AllScores!$B$2:$B$301=$A6)*(AllScores!$E$2:$E$301=$B6)*(AllScores!$I$2:$I$301=1))*(AllScores!$G$2:$G$301=$F6)*(ROW(AllScores!$A$2:$A$301)-1))),""))</f>
        <v/>
      </c>
    </row>
    <row r="7" customFormat="false" ht="15" hidden="false" customHeight="true" outlineLevel="0" collapsed="false">
      <c r="A7" s="77" t="s">
        <v>81</v>
      </c>
      <c r="B7" s="77" t="s">
        <v>69</v>
      </c>
      <c r="C7" s="78" t="str">
        <f aca="false">IFERROR(IF(SUMPRODUCT((AllScores!$B$2:$B$301=$A7)*(AllScores!$E$2:$E$301=$B7)*(AllScores!$I$2:$I$301=1))=0,"",IF(SUMPRODUCT(MAX(((AllScores!$B$2:$B$301=$A7)*(AllScores!$E$2:$E$301=$B7)*(AllScores!$I$2:$I$301=1))*AllScores!$F$2:$F$301))=0,"",SUMPRODUCT(MAX(((AllScores!$B$2:$B$301=$A7)*(AllScores!$E$2:$E$301=$B7)*(AllScores!$I$2:$I$301=1))*AllScores!$F$2:$F$301)))),"")</f>
        <v/>
      </c>
      <c r="D7" s="79" t="str">
        <f aca="false" t="array" ref="D7:D7">IF($C7="","",IFERROR(INDEX(AllScores!$C$2:$C$301,SUMPRODUCT(((AllScores!$B$2:$B$301=$A7)*(AllScores!$E$2:$E$301=$B7)*(AllScores!$I$2:$I$301=1))*(AllScores!$F$2:$F$301=$C7)*(ROW(AllScores!$F$2:$F$301)-1))),""))</f>
        <v/>
      </c>
      <c r="E7" s="80" t="str">
        <f aca="false" t="array" ref="E7:E7">IF($C7="","",IFERROR(INDEX(AllScores!$A$2:$A$301,SUMPRODUCT(((AllScores!$B$2:$B$301=$A7)*(AllScores!$E$2:$E$301=$B7)*(AllScores!$I$2:$I$301=1))*(AllScores!$F$2:$F$301=$C7)*(ROW(AllScores!$A$2:$A$301)-1))),""))</f>
        <v/>
      </c>
      <c r="F7" s="81" t="str">
        <f aca="false">IFERROR(IF(SUMPRODUCT((AllScores!$B$2:$B$301=$A7)*(AllScores!$E$2:$E$301=$B7)*(AllScores!$I$2:$I$301=1))=0,"",IF(SUMPRODUCT(MAX(((AllScores!$B$2:$B$301=$A7)*(AllScores!$E$2:$E$301=$B7)*(AllScores!$I$2:$I$301=1))*AllScores!$G$2:$G$301))=0,"",SUMPRODUCT(MAX(((AllScores!$B$2:$B$301=$A7)*(AllScores!$E$2:$E$301=$B7)*(AllScores!$I$2:$I$301=1))*AllScores!$G$2:$G$301)))),"")</f>
        <v/>
      </c>
      <c r="G7" s="79" t="str">
        <f aca="false" t="array" ref="G7:G7">IF($F7="","",IFERROR(INDEX(AllScores!$C$2:$C$301,SUMPRODUCT(((AllScores!$B$2:$B$301=$A7)*(AllScores!$E$2:$E$301=$B7)*(AllScores!$I$2:$I$301=1))*(AllScores!$G$2:$G$301=$F7)*(ROW(AllScores!$G$2:$G$301)-1))),""))</f>
        <v/>
      </c>
      <c r="H7" s="80" t="str">
        <f aca="false" t="array" ref="H7:H7">IF($F7="","",IFERROR(INDEX(AllScores!$A$2:$A$301,SUMPRODUCT(((AllScores!$B$2:$B$301=$A7)*(AllScores!$E$2:$E$301=$B7)*(AllScores!$I$2:$I$301=1))*(AllScores!$G$2:$G$301=$F7)*(ROW(AllScores!$A$2:$A$301)-1))),""))</f>
        <v/>
      </c>
    </row>
    <row r="8" customFormat="false" ht="15" hidden="false" customHeight="true" outlineLevel="0" collapsed="false">
      <c r="A8" s="77" t="s">
        <v>81</v>
      </c>
      <c r="B8" s="77" t="s">
        <v>70</v>
      </c>
      <c r="C8" s="78" t="str">
        <f aca="false">IFERROR(IF(SUMPRODUCT((AllScores!$B$2:$B$301=$A8)*(AllScores!$E$2:$E$301=$B8)*(AllScores!$I$2:$I$301=1))=0,"",IF(SUMPRODUCT(MAX(((AllScores!$B$2:$B$301=$A8)*(AllScores!$E$2:$E$301=$B8)*(AllScores!$I$2:$I$301=1))*AllScores!$F$2:$F$301))=0,"",SUMPRODUCT(MAX(((AllScores!$B$2:$B$301=$A8)*(AllScores!$E$2:$E$301=$B8)*(AllScores!$I$2:$I$301=1))*AllScores!$F$2:$F$301)))),"")</f>
        <v/>
      </c>
      <c r="D8" s="79" t="str">
        <f aca="false" t="array" ref="D8:D8">IF($C8="","",IFERROR(INDEX(AllScores!$C$2:$C$301,SUMPRODUCT(((AllScores!$B$2:$B$301=$A8)*(AllScores!$E$2:$E$301=$B8)*(AllScores!$I$2:$I$301=1))*(AllScores!$F$2:$F$301=$C8)*(ROW(AllScores!$F$2:$F$301)-1))),""))</f>
        <v/>
      </c>
      <c r="E8" s="80" t="str">
        <f aca="false" t="array" ref="E8:E8">IF($C8="","",IFERROR(INDEX(AllScores!$A$2:$A$301,SUMPRODUCT(((AllScores!$B$2:$B$301=$A8)*(AllScores!$E$2:$E$301=$B8)*(AllScores!$I$2:$I$301=1))*(AllScores!$F$2:$F$301=$C8)*(ROW(AllScores!$A$2:$A$301)-1))),""))</f>
        <v/>
      </c>
      <c r="F8" s="81" t="str">
        <f aca="false">IFERROR(IF(SUMPRODUCT((AllScores!$B$2:$B$301=$A8)*(AllScores!$E$2:$E$301=$B8)*(AllScores!$I$2:$I$301=1))=0,"",IF(SUMPRODUCT(MAX(((AllScores!$B$2:$B$301=$A8)*(AllScores!$E$2:$E$301=$B8)*(AllScores!$I$2:$I$301=1))*AllScores!$G$2:$G$301))=0,"",SUMPRODUCT(MAX(((AllScores!$B$2:$B$301=$A8)*(AllScores!$E$2:$E$301=$B8)*(AllScores!$I$2:$I$301=1))*AllScores!$G$2:$G$301)))),"")</f>
        <v/>
      </c>
      <c r="G8" s="79" t="str">
        <f aca="false" t="array" ref="G8:G8">IF($F8="","",IFERROR(INDEX(AllScores!$C$2:$C$301,SUMPRODUCT(((AllScores!$B$2:$B$301=$A8)*(AllScores!$E$2:$E$301=$B8)*(AllScores!$I$2:$I$301=1))*(AllScores!$G$2:$G$301=$F8)*(ROW(AllScores!$G$2:$G$301)-1))),""))</f>
        <v/>
      </c>
      <c r="H8" s="80" t="str">
        <f aca="false" t="array" ref="H8:H8">IF($F8="","",IFERROR(INDEX(AllScores!$A$2:$A$301,SUMPRODUCT(((AllScores!$B$2:$B$301=$A8)*(AllScores!$E$2:$E$301=$B8)*(AllScores!$I$2:$I$301=1))*(AllScores!$G$2:$G$301=$F8)*(ROW(AllScores!$A$2:$A$301)-1))),""))</f>
        <v/>
      </c>
    </row>
    <row r="9" customFormat="false" ht="15" hidden="false" customHeight="true" outlineLevel="0" collapsed="false">
      <c r="A9" s="77" t="s">
        <v>118</v>
      </c>
      <c r="B9" s="77" t="s">
        <v>67</v>
      </c>
      <c r="C9" s="78" t="str">
        <f aca="false">IFERROR(IF(SUMPRODUCT((AllScores!$B$2:$B$301=$A9)*(AllScores!$E$2:$E$301=$B9)*(AllScores!$I$2:$I$301=1))=0,"",IF(SUMPRODUCT(MAX(((AllScores!$B$2:$B$301=$A9)*(AllScores!$E$2:$E$301=$B9)*(AllScores!$I$2:$I$301=1))*AllScores!$F$2:$F$301))=0,"",SUMPRODUCT(MAX(((AllScores!$B$2:$B$301=$A9)*(AllScores!$E$2:$E$301=$B9)*(AllScores!$I$2:$I$301=1))*AllScores!$F$2:$F$301)))),"")</f>
        <v/>
      </c>
      <c r="D9" s="79" t="str">
        <f aca="false" t="array" ref="D9:D9">IF($C9="","",IFERROR(INDEX(AllScores!$C$2:$C$301,SUMPRODUCT(((AllScores!$B$2:$B$301=$A9)*(AllScores!$E$2:$E$301=$B9)*(AllScores!$I$2:$I$301=1))*(AllScores!$F$2:$F$301=$C9)*(ROW(AllScores!$F$2:$F$301)-1))),""))</f>
        <v/>
      </c>
      <c r="E9" s="80" t="str">
        <f aca="false" t="array" ref="E9:E9">IF($C9="","",IFERROR(INDEX(AllScores!$A$2:$A$301,SUMPRODUCT(((AllScores!$B$2:$B$301=$A9)*(AllScores!$E$2:$E$301=$B9)*(AllScores!$I$2:$I$301=1))*(AllScores!$F$2:$F$301=$C9)*(ROW(AllScores!$A$2:$A$301)-1))),""))</f>
        <v/>
      </c>
      <c r="F9" s="81" t="str">
        <f aca="false">IFERROR(IF(SUMPRODUCT((AllScores!$B$2:$B$301=$A9)*(AllScores!$E$2:$E$301=$B9)*(AllScores!$I$2:$I$301=1))=0,"",IF(SUMPRODUCT(MAX(((AllScores!$B$2:$B$301=$A9)*(AllScores!$E$2:$E$301=$B9)*(AllScores!$I$2:$I$301=1))*AllScores!$G$2:$G$301))=0,"",SUMPRODUCT(MAX(((AllScores!$B$2:$B$301=$A9)*(AllScores!$E$2:$E$301=$B9)*(AllScores!$I$2:$I$301=1))*AllScores!$G$2:$G$301)))),"")</f>
        <v/>
      </c>
      <c r="G9" s="79" t="str">
        <f aca="false" t="array" ref="G9:G9">IF($F9="","",IFERROR(INDEX(AllScores!$C$2:$C$301,SUMPRODUCT(((AllScores!$B$2:$B$301=$A9)*(AllScores!$E$2:$E$301=$B9)*(AllScores!$I$2:$I$301=1))*(AllScores!$G$2:$G$301=$F9)*(ROW(AllScores!$G$2:$G$301)-1))),""))</f>
        <v/>
      </c>
      <c r="H9" s="80" t="str">
        <f aca="false" t="array" ref="H9:H9">IF($F9="","",IFERROR(INDEX(AllScores!$A$2:$A$301,SUMPRODUCT(((AllScores!$B$2:$B$301=$A9)*(AllScores!$E$2:$E$301=$B9)*(AllScores!$I$2:$I$301=1))*(AllScores!$G$2:$G$301=$F9)*(ROW(AllScores!$A$2:$A$301)-1))),""))</f>
        <v/>
      </c>
    </row>
    <row r="10" customFormat="false" ht="15" hidden="false" customHeight="true" outlineLevel="0" collapsed="false">
      <c r="A10" s="77" t="s">
        <v>118</v>
      </c>
      <c r="B10" s="77" t="s">
        <v>68</v>
      </c>
      <c r="C10" s="78" t="str">
        <f aca="false">IFERROR(IF(SUMPRODUCT((AllScores!$B$2:$B$301=$A10)*(AllScores!$E$2:$E$301=$B10)*(AllScores!$I$2:$I$301=1))=0,"",IF(SUMPRODUCT(MAX(((AllScores!$B$2:$B$301=$A10)*(AllScores!$E$2:$E$301=$B10)*(AllScores!$I$2:$I$301=1))*AllScores!$F$2:$F$301))=0,"",SUMPRODUCT(MAX(((AllScores!$B$2:$B$301=$A10)*(AllScores!$E$2:$E$301=$B10)*(AllScores!$I$2:$I$301=1))*AllScores!$F$2:$F$301)))),"")</f>
        <v/>
      </c>
      <c r="D10" s="79" t="str">
        <f aca="false" t="array" ref="D10:D10">IF($C10="","",IFERROR(INDEX(AllScores!$C$2:$C$301,SUMPRODUCT(((AllScores!$B$2:$B$301=$A10)*(AllScores!$E$2:$E$301=$B10)*(AllScores!$I$2:$I$301=1))*(AllScores!$F$2:$F$301=$C10)*(ROW(AllScores!$F$2:$F$301)-1))),""))</f>
        <v/>
      </c>
      <c r="E10" s="80" t="str">
        <f aca="false" t="array" ref="E10:E10">IF($C10="","",IFERROR(INDEX(AllScores!$A$2:$A$301,SUMPRODUCT(((AllScores!$B$2:$B$301=$A10)*(AllScores!$E$2:$E$301=$B10)*(AllScores!$I$2:$I$301=1))*(AllScores!$F$2:$F$301=$C10)*(ROW(AllScores!$A$2:$A$301)-1))),""))</f>
        <v/>
      </c>
      <c r="F10" s="81" t="str">
        <f aca="false">IFERROR(IF(SUMPRODUCT((AllScores!$B$2:$B$301=$A10)*(AllScores!$E$2:$E$301=$B10)*(AllScores!$I$2:$I$301=1))=0,"",IF(SUMPRODUCT(MAX(((AllScores!$B$2:$B$301=$A10)*(AllScores!$E$2:$E$301=$B10)*(AllScores!$I$2:$I$301=1))*AllScores!$G$2:$G$301))=0,"",SUMPRODUCT(MAX(((AllScores!$B$2:$B$301=$A10)*(AllScores!$E$2:$E$301=$B10)*(AllScores!$I$2:$I$301=1))*AllScores!$G$2:$G$301)))),"")</f>
        <v/>
      </c>
      <c r="G10" s="79" t="str">
        <f aca="false" t="array" ref="G10:G10">IF($F10="","",IFERROR(INDEX(AllScores!$C$2:$C$301,SUMPRODUCT(((AllScores!$B$2:$B$301=$A10)*(AllScores!$E$2:$E$301=$B10)*(AllScores!$I$2:$I$301=1))*(AllScores!$G$2:$G$301=$F10)*(ROW(AllScores!$G$2:$G$301)-1))),""))</f>
        <v/>
      </c>
      <c r="H10" s="80" t="str">
        <f aca="false" t="array" ref="H10:H10">IF($F10="","",IFERROR(INDEX(AllScores!$A$2:$A$301,SUMPRODUCT(((AllScores!$B$2:$B$301=$A10)*(AllScores!$E$2:$E$301=$B10)*(AllScores!$I$2:$I$301=1))*(AllScores!$G$2:$G$301=$F10)*(ROW(AllScores!$A$2:$A$301)-1))),""))</f>
        <v/>
      </c>
    </row>
    <row r="11" customFormat="false" ht="15" hidden="false" customHeight="true" outlineLevel="0" collapsed="false">
      <c r="A11" s="77" t="s">
        <v>118</v>
      </c>
      <c r="B11" s="77" t="s">
        <v>69</v>
      </c>
      <c r="C11" s="78" t="str">
        <f aca="false">IFERROR(IF(SUMPRODUCT((AllScores!$B$2:$B$301=$A11)*(AllScores!$E$2:$E$301=$B11)*(AllScores!$I$2:$I$301=1))=0,"",IF(SUMPRODUCT(MAX(((AllScores!$B$2:$B$301=$A11)*(AllScores!$E$2:$E$301=$B11)*(AllScores!$I$2:$I$301=1))*AllScores!$F$2:$F$301))=0,"",SUMPRODUCT(MAX(((AllScores!$B$2:$B$301=$A11)*(AllScores!$E$2:$E$301=$B11)*(AllScores!$I$2:$I$301=1))*AllScores!$F$2:$F$301)))),"")</f>
        <v/>
      </c>
      <c r="D11" s="79" t="str">
        <f aca="false" t="array" ref="D11:D11">IF($C11="","",IFERROR(INDEX(AllScores!$C$2:$C$301,SUMPRODUCT(((AllScores!$B$2:$B$301=$A11)*(AllScores!$E$2:$E$301=$B11)*(AllScores!$I$2:$I$301=1))*(AllScores!$F$2:$F$301=$C11)*(ROW(AllScores!$F$2:$F$301)-1))),""))</f>
        <v/>
      </c>
      <c r="E11" s="80" t="str">
        <f aca="false" t="array" ref="E11:E11">IF($C11="","",IFERROR(INDEX(AllScores!$A$2:$A$301,SUMPRODUCT(((AllScores!$B$2:$B$301=$A11)*(AllScores!$E$2:$E$301=$B11)*(AllScores!$I$2:$I$301=1))*(AllScores!$F$2:$F$301=$C11)*(ROW(AllScores!$A$2:$A$301)-1))),""))</f>
        <v/>
      </c>
      <c r="F11" s="81" t="str">
        <f aca="false">IFERROR(IF(SUMPRODUCT((AllScores!$B$2:$B$301=$A11)*(AllScores!$E$2:$E$301=$B11)*(AllScores!$I$2:$I$301=1))=0,"",IF(SUMPRODUCT(MAX(((AllScores!$B$2:$B$301=$A11)*(AllScores!$E$2:$E$301=$B11)*(AllScores!$I$2:$I$301=1))*AllScores!$G$2:$G$301))=0,"",SUMPRODUCT(MAX(((AllScores!$B$2:$B$301=$A11)*(AllScores!$E$2:$E$301=$B11)*(AllScores!$I$2:$I$301=1))*AllScores!$G$2:$G$301)))),"")</f>
        <v/>
      </c>
      <c r="G11" s="79" t="str">
        <f aca="false" t="array" ref="G11:G11">IF($F11="","",IFERROR(INDEX(AllScores!$C$2:$C$301,SUMPRODUCT(((AllScores!$B$2:$B$301=$A11)*(AllScores!$E$2:$E$301=$B11)*(AllScores!$I$2:$I$301=1))*(AllScores!$G$2:$G$301=$F11)*(ROW(AllScores!$G$2:$G$301)-1))),""))</f>
        <v/>
      </c>
      <c r="H11" s="80" t="str">
        <f aca="false" t="array" ref="H11:H11">IF($F11="","",IFERROR(INDEX(AllScores!$A$2:$A$301,SUMPRODUCT(((AllScores!$B$2:$B$301=$A11)*(AllScores!$E$2:$E$301=$B11)*(AllScores!$I$2:$I$301=1))*(AllScores!$G$2:$G$301=$F11)*(ROW(AllScores!$A$2:$A$301)-1))),""))</f>
        <v/>
      </c>
    </row>
    <row r="12" customFormat="false" ht="15" hidden="false" customHeight="true" outlineLevel="0" collapsed="false">
      <c r="A12" s="77" t="s">
        <v>118</v>
      </c>
      <c r="B12" s="77" t="s">
        <v>70</v>
      </c>
      <c r="C12" s="78" t="str">
        <f aca="false">IFERROR(IF(SUMPRODUCT((AllScores!$B$2:$B$301=$A12)*(AllScores!$E$2:$E$301=$B12)*(AllScores!$I$2:$I$301=1))=0,"",IF(SUMPRODUCT(MAX(((AllScores!$B$2:$B$301=$A12)*(AllScores!$E$2:$E$301=$B12)*(AllScores!$I$2:$I$301=1))*AllScores!$F$2:$F$301))=0,"",SUMPRODUCT(MAX(((AllScores!$B$2:$B$301=$A12)*(AllScores!$E$2:$E$301=$B12)*(AllScores!$I$2:$I$301=1))*AllScores!$F$2:$F$301)))),"")</f>
        <v/>
      </c>
      <c r="D12" s="79" t="str">
        <f aca="false" t="array" ref="D12:D12">IF($C12="","",IFERROR(INDEX(AllScores!$C$2:$C$301,SUMPRODUCT(((AllScores!$B$2:$B$301=$A12)*(AllScores!$E$2:$E$301=$B12)*(AllScores!$I$2:$I$301=1))*(AllScores!$F$2:$F$301=$C12)*(ROW(AllScores!$F$2:$F$301)-1))),""))</f>
        <v/>
      </c>
      <c r="E12" s="80" t="str">
        <f aca="false" t="array" ref="E12:E12">IF($C12="","",IFERROR(INDEX(AllScores!$A$2:$A$301,SUMPRODUCT(((AllScores!$B$2:$B$301=$A12)*(AllScores!$E$2:$E$301=$B12)*(AllScores!$I$2:$I$301=1))*(AllScores!$F$2:$F$301=$C12)*(ROW(AllScores!$A$2:$A$301)-1))),""))</f>
        <v/>
      </c>
      <c r="F12" s="81" t="str">
        <f aca="false">IFERROR(IF(SUMPRODUCT((AllScores!$B$2:$B$301=$A12)*(AllScores!$E$2:$E$301=$B12)*(AllScores!$I$2:$I$301=1))=0,"",IF(SUMPRODUCT(MAX(((AllScores!$B$2:$B$301=$A12)*(AllScores!$E$2:$E$301=$B12)*(AllScores!$I$2:$I$301=1))*AllScores!$G$2:$G$301))=0,"",SUMPRODUCT(MAX(((AllScores!$B$2:$B$301=$A12)*(AllScores!$E$2:$E$301=$B12)*(AllScores!$I$2:$I$301=1))*AllScores!$G$2:$G$301)))),"")</f>
        <v/>
      </c>
      <c r="G12" s="79" t="str">
        <f aca="false" t="array" ref="G12:G12">IF($F12="","",IFERROR(INDEX(AllScores!$C$2:$C$301,SUMPRODUCT(((AllScores!$B$2:$B$301=$A12)*(AllScores!$E$2:$E$301=$B12)*(AllScores!$I$2:$I$301=1))*(AllScores!$G$2:$G$301=$F12)*(ROW(AllScores!$G$2:$G$301)-1))),""))</f>
        <v/>
      </c>
      <c r="H12" s="80" t="str">
        <f aca="false" t="array" ref="H12:H12">IF($F12="","",IFERROR(INDEX(AllScores!$A$2:$A$301,SUMPRODUCT(((AllScores!$B$2:$B$301=$A12)*(AllScores!$E$2:$E$301=$B12)*(AllScores!$I$2:$I$301=1))*(AllScores!$G$2:$G$301=$F12)*(ROW(AllScores!$A$2:$A$301)-1))),""))</f>
        <v/>
      </c>
    </row>
    <row r="13" customFormat="false" ht="15" hidden="false" customHeight="true" outlineLevel="0" collapsed="false">
      <c r="A13" s="77" t="s">
        <v>191</v>
      </c>
      <c r="B13" s="77" t="s">
        <v>67</v>
      </c>
      <c r="C13" s="78" t="str">
        <f aca="false">IFERROR(IF(SUMPRODUCT((AllScores!$B$2:$B$301=$A13)*(AllScores!$E$2:$E$301=$B13)*(AllScores!$I$2:$I$301=1))=0,"",IF(SUMPRODUCT(MAX(((AllScores!$B$2:$B$301=$A13)*(AllScores!$E$2:$E$301=$B13)*(AllScores!$I$2:$I$301=1))*AllScores!$F$2:$F$301))=0,"",SUMPRODUCT(MAX(((AllScores!$B$2:$B$301=$A13)*(AllScores!$E$2:$E$301=$B13)*(AllScores!$I$2:$I$301=1))*AllScores!$F$2:$F$301)))),"")</f>
        <v/>
      </c>
      <c r="D13" s="79" t="str">
        <f aca="false" t="array" ref="D13:D13">IF($C13="","",IFERROR(INDEX(AllScores!$C$2:$C$301,SUMPRODUCT(((AllScores!$B$2:$B$301=$A13)*(AllScores!$E$2:$E$301=$B13)*(AllScores!$I$2:$I$301=1))*(AllScores!$F$2:$F$301=$C13)*(ROW(AllScores!$F$2:$F$301)-1))),""))</f>
        <v/>
      </c>
      <c r="E13" s="80" t="str">
        <f aca="false" t="array" ref="E13:E13">IF($C13="","",IFERROR(INDEX(AllScores!$A$2:$A$301,SUMPRODUCT(((AllScores!$B$2:$B$301=$A13)*(AllScores!$E$2:$E$301=$B13)*(AllScores!$I$2:$I$301=1))*(AllScores!$F$2:$F$301=$C13)*(ROW(AllScores!$A$2:$A$301)-1))),""))</f>
        <v/>
      </c>
      <c r="F13" s="81" t="str">
        <f aca="false">IFERROR(IF(SUMPRODUCT((AllScores!$B$2:$B$301=$A13)*(AllScores!$E$2:$E$301=$B13)*(AllScores!$I$2:$I$301=1))=0,"",IF(SUMPRODUCT(MAX(((AllScores!$B$2:$B$301=$A13)*(AllScores!$E$2:$E$301=$B13)*(AllScores!$I$2:$I$301=1))*AllScores!$G$2:$G$301))=0,"",SUMPRODUCT(MAX(((AllScores!$B$2:$B$301=$A13)*(AllScores!$E$2:$E$301=$B13)*(AllScores!$I$2:$I$301=1))*AllScores!$G$2:$G$301)))),"")</f>
        <v/>
      </c>
      <c r="G13" s="79" t="str">
        <f aca="false" t="array" ref="G13:G13">IF($F13="","",IFERROR(INDEX(AllScores!$C$2:$C$301,SUMPRODUCT(((AllScores!$B$2:$B$301=$A13)*(AllScores!$E$2:$E$301=$B13)*(AllScores!$I$2:$I$301=1))*(AllScores!$G$2:$G$301=$F13)*(ROW(AllScores!$G$2:$G$301)-1))),""))</f>
        <v/>
      </c>
      <c r="H13" s="80" t="str">
        <f aca="false" t="array" ref="H13:H13">IF($F13="","",IFERROR(INDEX(AllScores!$A$2:$A$301,SUMPRODUCT(((AllScores!$B$2:$B$301=$A13)*(AllScores!$E$2:$E$301=$B13)*(AllScores!$I$2:$I$301=1))*(AllScores!$G$2:$G$301=$F13)*(ROW(AllScores!$A$2:$A$301)-1))),""))</f>
        <v/>
      </c>
    </row>
    <row r="14" customFormat="false" ht="15" hidden="false" customHeight="true" outlineLevel="0" collapsed="false">
      <c r="A14" s="77" t="s">
        <v>191</v>
      </c>
      <c r="B14" s="77" t="s">
        <v>68</v>
      </c>
      <c r="C14" s="78" t="str">
        <f aca="false">IFERROR(IF(SUMPRODUCT((AllScores!$B$2:$B$301=$A14)*(AllScores!$E$2:$E$301=$B14)*(AllScores!$I$2:$I$301=1))=0,"",IF(SUMPRODUCT(MAX(((AllScores!$B$2:$B$301=$A14)*(AllScores!$E$2:$E$301=$B14)*(AllScores!$I$2:$I$301=1))*AllScores!$F$2:$F$301))=0,"",SUMPRODUCT(MAX(((AllScores!$B$2:$B$301=$A14)*(AllScores!$E$2:$E$301=$B14)*(AllScores!$I$2:$I$301=1))*AllScores!$F$2:$F$301)))),"")</f>
        <v/>
      </c>
      <c r="D14" s="79" t="str">
        <f aca="false" t="array" ref="D14:D14">IF($C14="","",IFERROR(INDEX(AllScores!$C$2:$C$301,SUMPRODUCT(((AllScores!$B$2:$B$301=$A14)*(AllScores!$E$2:$E$301=$B14)*(AllScores!$I$2:$I$301=1))*(AllScores!$F$2:$F$301=$C14)*(ROW(AllScores!$F$2:$F$301)-1))),""))</f>
        <v/>
      </c>
      <c r="E14" s="80" t="str">
        <f aca="false" t="array" ref="E14:E14">IF($C14="","",IFERROR(INDEX(AllScores!$A$2:$A$301,SUMPRODUCT(((AllScores!$B$2:$B$301=$A14)*(AllScores!$E$2:$E$301=$B14)*(AllScores!$I$2:$I$301=1))*(AllScores!$F$2:$F$301=$C14)*(ROW(AllScores!$A$2:$A$301)-1))),""))</f>
        <v/>
      </c>
      <c r="F14" s="81" t="str">
        <f aca="false">IFERROR(IF(SUMPRODUCT((AllScores!$B$2:$B$301=$A14)*(AllScores!$E$2:$E$301=$B14)*(AllScores!$I$2:$I$301=1))=0,"",IF(SUMPRODUCT(MAX(((AllScores!$B$2:$B$301=$A14)*(AllScores!$E$2:$E$301=$B14)*(AllScores!$I$2:$I$301=1))*AllScores!$G$2:$G$301))=0,"",SUMPRODUCT(MAX(((AllScores!$B$2:$B$301=$A14)*(AllScores!$E$2:$E$301=$B14)*(AllScores!$I$2:$I$301=1))*AllScores!$G$2:$G$301)))),"")</f>
        <v/>
      </c>
      <c r="G14" s="79" t="str">
        <f aca="false" t="array" ref="G14:G14">IF($F14="","",IFERROR(INDEX(AllScores!$C$2:$C$301,SUMPRODUCT(((AllScores!$B$2:$B$301=$A14)*(AllScores!$E$2:$E$301=$B14)*(AllScores!$I$2:$I$301=1))*(AllScores!$G$2:$G$301=$F14)*(ROW(AllScores!$G$2:$G$301)-1))),""))</f>
        <v/>
      </c>
      <c r="H14" s="80" t="str">
        <f aca="false" t="array" ref="H14:H14">IF($F14="","",IFERROR(INDEX(AllScores!$A$2:$A$301,SUMPRODUCT(((AllScores!$B$2:$B$301=$A14)*(AllScores!$E$2:$E$301=$B14)*(AllScores!$I$2:$I$301=1))*(AllScores!$G$2:$G$301=$F14)*(ROW(AllScores!$A$2:$A$301)-1))),""))</f>
        <v/>
      </c>
    </row>
    <row r="15" customFormat="false" ht="15" hidden="false" customHeight="true" outlineLevel="0" collapsed="false">
      <c r="A15" s="77" t="s">
        <v>191</v>
      </c>
      <c r="B15" s="77" t="s">
        <v>69</v>
      </c>
      <c r="C15" s="78" t="str">
        <f aca="false">IFERROR(IF(SUMPRODUCT((AllScores!$B$2:$B$301=$A15)*(AllScores!$E$2:$E$301=$B15)*(AllScores!$I$2:$I$301=1))=0,"",IF(SUMPRODUCT(MAX(((AllScores!$B$2:$B$301=$A15)*(AllScores!$E$2:$E$301=$B15)*(AllScores!$I$2:$I$301=1))*AllScores!$F$2:$F$301))=0,"",SUMPRODUCT(MAX(((AllScores!$B$2:$B$301=$A15)*(AllScores!$E$2:$E$301=$B15)*(AllScores!$I$2:$I$301=1))*AllScores!$F$2:$F$301)))),"")</f>
        <v/>
      </c>
      <c r="D15" s="79" t="str">
        <f aca="false" t="array" ref="D15:D15">IF($C15="","",IFERROR(INDEX(AllScores!$C$2:$C$301,SUMPRODUCT(((AllScores!$B$2:$B$301=$A15)*(AllScores!$E$2:$E$301=$B15)*(AllScores!$I$2:$I$301=1))*(AllScores!$F$2:$F$301=$C15)*(ROW(AllScores!$F$2:$F$301)-1))),""))</f>
        <v/>
      </c>
      <c r="E15" s="80" t="str">
        <f aca="false" t="array" ref="E15:E15">IF($C15="","",IFERROR(INDEX(AllScores!$A$2:$A$301,SUMPRODUCT(((AllScores!$B$2:$B$301=$A15)*(AllScores!$E$2:$E$301=$B15)*(AllScores!$I$2:$I$301=1))*(AllScores!$F$2:$F$301=$C15)*(ROW(AllScores!$A$2:$A$301)-1))),""))</f>
        <v/>
      </c>
      <c r="F15" s="81" t="str">
        <f aca="false">IFERROR(IF(SUMPRODUCT((AllScores!$B$2:$B$301=$A15)*(AllScores!$E$2:$E$301=$B15)*(AllScores!$I$2:$I$301=1))=0,"",IF(SUMPRODUCT(MAX(((AllScores!$B$2:$B$301=$A15)*(AllScores!$E$2:$E$301=$B15)*(AllScores!$I$2:$I$301=1))*AllScores!$G$2:$G$301))=0,"",SUMPRODUCT(MAX(((AllScores!$B$2:$B$301=$A15)*(AllScores!$E$2:$E$301=$B15)*(AllScores!$I$2:$I$301=1))*AllScores!$G$2:$G$301)))),"")</f>
        <v/>
      </c>
      <c r="G15" s="79" t="str">
        <f aca="false" t="array" ref="G15:G15">IF($F15="","",IFERROR(INDEX(AllScores!$C$2:$C$301,SUMPRODUCT(((AllScores!$B$2:$B$301=$A15)*(AllScores!$E$2:$E$301=$B15)*(AllScores!$I$2:$I$301=1))*(AllScores!$G$2:$G$301=$F15)*(ROW(AllScores!$G$2:$G$301)-1))),""))</f>
        <v/>
      </c>
      <c r="H15" s="80" t="str">
        <f aca="false" t="array" ref="H15:H15">IF($F15="","",IFERROR(INDEX(AllScores!$A$2:$A$301,SUMPRODUCT(((AllScores!$B$2:$B$301=$A15)*(AllScores!$E$2:$E$301=$B15)*(AllScores!$I$2:$I$301=1))*(AllScores!$G$2:$G$301=$F15)*(ROW(AllScores!$A$2:$A$301)-1))),""))</f>
        <v/>
      </c>
    </row>
    <row r="16" customFormat="false" ht="15" hidden="false" customHeight="true" outlineLevel="0" collapsed="false">
      <c r="A16" s="77" t="s">
        <v>191</v>
      </c>
      <c r="B16" s="77" t="s">
        <v>70</v>
      </c>
      <c r="C16" s="78" t="str">
        <f aca="false">IFERROR(IF(SUMPRODUCT((AllScores!$B$2:$B$301=$A16)*(AllScores!$E$2:$E$301=$B16)*(AllScores!$I$2:$I$301=1))=0,"",IF(SUMPRODUCT(MAX(((AllScores!$B$2:$B$301=$A16)*(AllScores!$E$2:$E$301=$B16)*(AllScores!$I$2:$I$301=1))*AllScores!$F$2:$F$301))=0,"",SUMPRODUCT(MAX(((AllScores!$B$2:$B$301=$A16)*(AllScores!$E$2:$E$301=$B16)*(AllScores!$I$2:$I$301=1))*AllScores!$F$2:$F$301)))),"")</f>
        <v/>
      </c>
      <c r="D16" s="79" t="str">
        <f aca="false" t="array" ref="D16:D16">IF($C16="","",IFERROR(INDEX(AllScores!$C$2:$C$301,SUMPRODUCT(((AllScores!$B$2:$B$301=$A16)*(AllScores!$E$2:$E$301=$B16)*(AllScores!$I$2:$I$301=1))*(AllScores!$F$2:$F$301=$C16)*(ROW(AllScores!$F$2:$F$301)-1))),""))</f>
        <v/>
      </c>
      <c r="E16" s="80" t="str">
        <f aca="false" t="array" ref="E16:E16">IF($C16="","",IFERROR(INDEX(AllScores!$A$2:$A$301,SUMPRODUCT(((AllScores!$B$2:$B$301=$A16)*(AllScores!$E$2:$E$301=$B16)*(AllScores!$I$2:$I$301=1))*(AllScores!$F$2:$F$301=$C16)*(ROW(AllScores!$A$2:$A$301)-1))),""))</f>
        <v/>
      </c>
      <c r="F16" s="81" t="str">
        <f aca="false">IFERROR(IF(SUMPRODUCT((AllScores!$B$2:$B$301=$A16)*(AllScores!$E$2:$E$301=$B16)*(AllScores!$I$2:$I$301=1))=0,"",IF(SUMPRODUCT(MAX(((AllScores!$B$2:$B$301=$A16)*(AllScores!$E$2:$E$301=$B16)*(AllScores!$I$2:$I$301=1))*AllScores!$G$2:$G$301))=0,"",SUMPRODUCT(MAX(((AllScores!$B$2:$B$301=$A16)*(AllScores!$E$2:$E$301=$B16)*(AllScores!$I$2:$I$301=1))*AllScores!$G$2:$G$301)))),"")</f>
        <v/>
      </c>
      <c r="G16" s="79" t="str">
        <f aca="false" t="array" ref="G16:G16">IF($F16="","",IFERROR(INDEX(AllScores!$C$2:$C$301,SUMPRODUCT(((AllScores!$B$2:$B$301=$A16)*(AllScores!$E$2:$E$301=$B16)*(AllScores!$I$2:$I$301=1))*(AllScores!$G$2:$G$301=$F16)*(ROW(AllScores!$G$2:$G$301)-1))),""))</f>
        <v/>
      </c>
      <c r="H16" s="80" t="str">
        <f aca="false" t="array" ref="H16:H16">IF($F16="","",IFERROR(INDEX(AllScores!$A$2:$A$301,SUMPRODUCT(((AllScores!$B$2:$B$301=$A16)*(AllScores!$E$2:$E$301=$B16)*(AllScores!$I$2:$I$301=1))*(AllScores!$G$2:$G$301=$F16)*(ROW(AllScores!$A$2:$A$301)-1))),""))</f>
        <v/>
      </c>
    </row>
    <row r="17" customFormat="false" ht="15" hidden="false" customHeight="true" outlineLevel="0" collapsed="false">
      <c r="A17" s="77" t="s">
        <v>87</v>
      </c>
      <c r="B17" s="77" t="s">
        <v>67</v>
      </c>
      <c r="C17" s="78" t="str">
        <f aca="false">IFERROR(IF(SUMPRODUCT((AllScores!$B$2:$B$301=$A17)*(AllScores!$E$2:$E$301=$B17)*(AllScores!$I$2:$I$301=1))=0,"",IF(SUMPRODUCT(MAX(((AllScores!$B$2:$B$301=$A17)*(AllScores!$E$2:$E$301=$B17)*(AllScores!$I$2:$I$301=1))*AllScores!$F$2:$F$301))=0,"",SUMPRODUCT(MAX(((AllScores!$B$2:$B$301=$A17)*(AllScores!$E$2:$E$301=$B17)*(AllScores!$I$2:$I$301=1))*AllScores!$F$2:$F$301)))),"")</f>
        <v/>
      </c>
      <c r="D17" s="79" t="str">
        <f aca="false" t="array" ref="D17:D17">IF($C17="","",IFERROR(INDEX(AllScores!$C$2:$C$301,SUMPRODUCT(((AllScores!$B$2:$B$301=$A17)*(AllScores!$E$2:$E$301=$B17)*(AllScores!$I$2:$I$301=1))*(AllScores!$F$2:$F$301=$C17)*(ROW(AllScores!$F$2:$F$301)-1))),""))</f>
        <v/>
      </c>
      <c r="E17" s="80" t="str">
        <f aca="false" t="array" ref="E17:E17">IF($C17="","",IFERROR(INDEX(AllScores!$A$2:$A$301,SUMPRODUCT(((AllScores!$B$2:$B$301=$A17)*(AllScores!$E$2:$E$301=$B17)*(AllScores!$I$2:$I$301=1))*(AllScores!$F$2:$F$301=$C17)*(ROW(AllScores!$A$2:$A$301)-1))),""))</f>
        <v/>
      </c>
      <c r="F17" s="81" t="str">
        <f aca="false">IFERROR(IF(SUMPRODUCT((AllScores!$B$2:$B$301=$A17)*(AllScores!$E$2:$E$301=$B17)*(AllScores!$I$2:$I$301=1))=0,"",IF(SUMPRODUCT(MAX(((AllScores!$B$2:$B$301=$A17)*(AllScores!$E$2:$E$301=$B17)*(AllScores!$I$2:$I$301=1))*AllScores!$G$2:$G$301))=0,"",SUMPRODUCT(MAX(((AllScores!$B$2:$B$301=$A17)*(AllScores!$E$2:$E$301=$B17)*(AllScores!$I$2:$I$301=1))*AllScores!$G$2:$G$301)))),"")</f>
        <v/>
      </c>
      <c r="G17" s="79" t="str">
        <f aca="false" t="array" ref="G17:G17">IF($F17="","",IFERROR(INDEX(AllScores!$C$2:$C$301,SUMPRODUCT(((AllScores!$B$2:$B$301=$A17)*(AllScores!$E$2:$E$301=$B17)*(AllScores!$I$2:$I$301=1))*(AllScores!$G$2:$G$301=$F17)*(ROW(AllScores!$G$2:$G$301)-1))),""))</f>
        <v/>
      </c>
      <c r="H17" s="80" t="str">
        <f aca="false" t="array" ref="H17:H17">IF($F17="","",IFERROR(INDEX(AllScores!$A$2:$A$301,SUMPRODUCT(((AllScores!$B$2:$B$301=$A17)*(AllScores!$E$2:$E$301=$B17)*(AllScores!$I$2:$I$301=1))*(AllScores!$G$2:$G$301=$F17)*(ROW(AllScores!$A$2:$A$301)-1))),""))</f>
        <v/>
      </c>
    </row>
    <row r="18" customFormat="false" ht="15" hidden="false" customHeight="true" outlineLevel="0" collapsed="false">
      <c r="A18" s="77" t="s">
        <v>87</v>
      </c>
      <c r="B18" s="77" t="s">
        <v>68</v>
      </c>
      <c r="C18" s="78" t="str">
        <f aca="false">IFERROR(IF(SUMPRODUCT((AllScores!$B$2:$B$301=$A18)*(AllScores!$E$2:$E$301=$B18)*(AllScores!$I$2:$I$301=1))=0,"",IF(SUMPRODUCT(MAX(((AllScores!$B$2:$B$301=$A18)*(AllScores!$E$2:$E$301=$B18)*(AllScores!$I$2:$I$301=1))*AllScores!$F$2:$F$301))=0,"",SUMPRODUCT(MAX(((AllScores!$B$2:$B$301=$A18)*(AllScores!$E$2:$E$301=$B18)*(AllScores!$I$2:$I$301=1))*AllScores!$F$2:$F$301)))),"")</f>
        <v/>
      </c>
      <c r="D18" s="79" t="str">
        <f aca="false" t="array" ref="D18:D18">IF($C18="","",IFERROR(INDEX(AllScores!$C$2:$C$301,SUMPRODUCT(((AllScores!$B$2:$B$301=$A18)*(AllScores!$E$2:$E$301=$B18)*(AllScores!$I$2:$I$301=1))*(AllScores!$F$2:$F$301=$C18)*(ROW(AllScores!$F$2:$F$301)-1))),""))</f>
        <v/>
      </c>
      <c r="E18" s="80" t="str">
        <f aca="false" t="array" ref="E18:E18">IF($C18="","",IFERROR(INDEX(AllScores!$A$2:$A$301,SUMPRODUCT(((AllScores!$B$2:$B$301=$A18)*(AllScores!$E$2:$E$301=$B18)*(AllScores!$I$2:$I$301=1))*(AllScores!$F$2:$F$301=$C18)*(ROW(AllScores!$A$2:$A$301)-1))),""))</f>
        <v/>
      </c>
      <c r="F18" s="81" t="str">
        <f aca="false">IFERROR(IF(SUMPRODUCT((AllScores!$B$2:$B$301=$A18)*(AllScores!$E$2:$E$301=$B18)*(AllScores!$I$2:$I$301=1))=0,"",IF(SUMPRODUCT(MAX(((AllScores!$B$2:$B$301=$A18)*(AllScores!$E$2:$E$301=$B18)*(AllScores!$I$2:$I$301=1))*AllScores!$G$2:$G$301))=0,"",SUMPRODUCT(MAX(((AllScores!$B$2:$B$301=$A18)*(AllScores!$E$2:$E$301=$B18)*(AllScores!$I$2:$I$301=1))*AllScores!$G$2:$G$301)))),"")</f>
        <v/>
      </c>
      <c r="G18" s="79" t="str">
        <f aca="false" t="array" ref="G18:G18">IF($F18="","",IFERROR(INDEX(AllScores!$C$2:$C$301,SUMPRODUCT(((AllScores!$B$2:$B$301=$A18)*(AllScores!$E$2:$E$301=$B18)*(AllScores!$I$2:$I$301=1))*(AllScores!$G$2:$G$301=$F18)*(ROW(AllScores!$G$2:$G$301)-1))),""))</f>
        <v/>
      </c>
      <c r="H18" s="80" t="str">
        <f aca="false" t="array" ref="H18:H18">IF($F18="","",IFERROR(INDEX(AllScores!$A$2:$A$301,SUMPRODUCT(((AllScores!$B$2:$B$301=$A18)*(AllScores!$E$2:$E$301=$B18)*(AllScores!$I$2:$I$301=1))*(AllScores!$G$2:$G$301=$F18)*(ROW(AllScores!$A$2:$A$301)-1))),""))</f>
        <v/>
      </c>
    </row>
    <row r="19" customFormat="false" ht="15" hidden="false" customHeight="true" outlineLevel="0" collapsed="false">
      <c r="A19" s="77" t="s">
        <v>87</v>
      </c>
      <c r="B19" s="77" t="s">
        <v>69</v>
      </c>
      <c r="C19" s="78" t="str">
        <f aca="false">IFERROR(IF(SUMPRODUCT((AllScores!$B$2:$B$301=$A19)*(AllScores!$E$2:$E$301=$B19)*(AllScores!$I$2:$I$301=1))=0,"",IF(SUMPRODUCT(MAX(((AllScores!$B$2:$B$301=$A19)*(AllScores!$E$2:$E$301=$B19)*(AllScores!$I$2:$I$301=1))*AllScores!$F$2:$F$301))=0,"",SUMPRODUCT(MAX(((AllScores!$B$2:$B$301=$A19)*(AllScores!$E$2:$E$301=$B19)*(AllScores!$I$2:$I$301=1))*AllScores!$F$2:$F$301)))),"")</f>
        <v/>
      </c>
      <c r="D19" s="79" t="str">
        <f aca="false" t="array" ref="D19:D19">IF($C19="","",IFERROR(INDEX(AllScores!$C$2:$C$301,SUMPRODUCT(((AllScores!$B$2:$B$301=$A19)*(AllScores!$E$2:$E$301=$B19)*(AllScores!$I$2:$I$301=1))*(AllScores!$F$2:$F$301=$C19)*(ROW(AllScores!$F$2:$F$301)-1))),""))</f>
        <v/>
      </c>
      <c r="E19" s="80" t="str">
        <f aca="false" t="array" ref="E19:E19">IF($C19="","",IFERROR(INDEX(AllScores!$A$2:$A$301,SUMPRODUCT(((AllScores!$B$2:$B$301=$A19)*(AllScores!$E$2:$E$301=$B19)*(AllScores!$I$2:$I$301=1))*(AllScores!$F$2:$F$301=$C19)*(ROW(AllScores!$A$2:$A$301)-1))),""))</f>
        <v/>
      </c>
      <c r="F19" s="81" t="str">
        <f aca="false">IFERROR(IF(SUMPRODUCT((AllScores!$B$2:$B$301=$A19)*(AllScores!$E$2:$E$301=$B19)*(AllScores!$I$2:$I$301=1))=0,"",IF(SUMPRODUCT(MAX(((AllScores!$B$2:$B$301=$A19)*(AllScores!$E$2:$E$301=$B19)*(AllScores!$I$2:$I$301=1))*AllScores!$G$2:$G$301))=0,"",SUMPRODUCT(MAX(((AllScores!$B$2:$B$301=$A19)*(AllScores!$E$2:$E$301=$B19)*(AllScores!$I$2:$I$301=1))*AllScores!$G$2:$G$301)))),"")</f>
        <v/>
      </c>
      <c r="G19" s="79" t="str">
        <f aca="false" t="array" ref="G19:G19">IF($F19="","",IFERROR(INDEX(AllScores!$C$2:$C$301,SUMPRODUCT(((AllScores!$B$2:$B$301=$A19)*(AllScores!$E$2:$E$301=$B19)*(AllScores!$I$2:$I$301=1))*(AllScores!$G$2:$G$301=$F19)*(ROW(AllScores!$G$2:$G$301)-1))),""))</f>
        <v/>
      </c>
      <c r="H19" s="80" t="str">
        <f aca="false" t="array" ref="H19:H19">IF($F19="","",IFERROR(INDEX(AllScores!$A$2:$A$301,SUMPRODUCT(((AllScores!$B$2:$B$301=$A19)*(AllScores!$E$2:$E$301=$B19)*(AllScores!$I$2:$I$301=1))*(AllScores!$G$2:$G$301=$F19)*(ROW(AllScores!$A$2:$A$301)-1))),""))</f>
        <v/>
      </c>
    </row>
    <row r="20" customFormat="false" ht="15" hidden="false" customHeight="true" outlineLevel="0" collapsed="false">
      <c r="A20" s="77" t="s">
        <v>87</v>
      </c>
      <c r="B20" s="77" t="s">
        <v>70</v>
      </c>
      <c r="C20" s="78" t="str">
        <f aca="false">IFERROR(IF(SUMPRODUCT((AllScores!$B$2:$B$301=$A20)*(AllScores!$E$2:$E$301=$B20)*(AllScores!$I$2:$I$301=1))=0,"",IF(SUMPRODUCT(MAX(((AllScores!$B$2:$B$301=$A20)*(AllScores!$E$2:$E$301=$B20)*(AllScores!$I$2:$I$301=1))*AllScores!$F$2:$F$301))=0,"",SUMPRODUCT(MAX(((AllScores!$B$2:$B$301=$A20)*(AllScores!$E$2:$E$301=$B20)*(AllScores!$I$2:$I$301=1))*AllScores!$F$2:$F$301)))),"")</f>
        <v/>
      </c>
      <c r="D20" s="79" t="str">
        <f aca="false" t="array" ref="D20:D20">IF($C20="","",IFERROR(INDEX(AllScores!$C$2:$C$301,SUMPRODUCT(((AllScores!$B$2:$B$301=$A20)*(AllScores!$E$2:$E$301=$B20)*(AllScores!$I$2:$I$301=1))*(AllScores!$F$2:$F$301=$C20)*(ROW(AllScores!$F$2:$F$301)-1))),""))</f>
        <v/>
      </c>
      <c r="E20" s="80" t="str">
        <f aca="false" t="array" ref="E20:E20">IF($C20="","",IFERROR(INDEX(AllScores!$A$2:$A$301,SUMPRODUCT(((AllScores!$B$2:$B$301=$A20)*(AllScores!$E$2:$E$301=$B20)*(AllScores!$I$2:$I$301=1))*(AllScores!$F$2:$F$301=$C20)*(ROW(AllScores!$A$2:$A$301)-1))),""))</f>
        <v/>
      </c>
      <c r="F20" s="81" t="str">
        <f aca="false">IFERROR(IF(SUMPRODUCT((AllScores!$B$2:$B$301=$A20)*(AllScores!$E$2:$E$301=$B20)*(AllScores!$I$2:$I$301=1))=0,"",IF(SUMPRODUCT(MAX(((AllScores!$B$2:$B$301=$A20)*(AllScores!$E$2:$E$301=$B20)*(AllScores!$I$2:$I$301=1))*AllScores!$G$2:$G$301))=0,"",SUMPRODUCT(MAX(((AllScores!$B$2:$B$301=$A20)*(AllScores!$E$2:$E$301=$B20)*(AllScores!$I$2:$I$301=1))*AllScores!$G$2:$G$301)))),"")</f>
        <v/>
      </c>
      <c r="G20" s="79" t="str">
        <f aca="false" t="array" ref="G20:G20">IF($F20="","",IFERROR(INDEX(AllScores!$C$2:$C$301,SUMPRODUCT(((AllScores!$B$2:$B$301=$A20)*(AllScores!$E$2:$E$301=$B20)*(AllScores!$I$2:$I$301=1))*(AllScores!$G$2:$G$301=$F20)*(ROW(AllScores!$G$2:$G$301)-1))),""))</f>
        <v/>
      </c>
      <c r="H20" s="80" t="str">
        <f aca="false" t="array" ref="H20:H20">IF($F20="","",IFERROR(INDEX(AllScores!$A$2:$A$301,SUMPRODUCT(((AllScores!$B$2:$B$301=$A20)*(AllScores!$E$2:$E$301=$B20)*(AllScores!$I$2:$I$301=1))*(AllScores!$G$2:$G$301=$F20)*(ROW(AllScores!$A$2:$A$301)-1))),""))</f>
        <v/>
      </c>
    </row>
    <row r="21" customFormat="false" ht="15.75" hidden="false" customHeight="true" outlineLevel="0" collapsed="false"/>
    <row r="22" customFormat="false" ht="15" hidden="false" customHeight="true" outlineLevel="0" collapsed="false">
      <c r="A22" s="75" t="s">
        <v>192</v>
      </c>
      <c r="B22" s="75"/>
      <c r="C22" s="75"/>
      <c r="D22" s="75"/>
      <c r="E22" s="75"/>
      <c r="F22" s="75"/>
      <c r="G22" s="75"/>
      <c r="H22" s="75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H1"/>
    <mergeCell ref="A2:H2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26" min="4" style="1" width="8.71"/>
  </cols>
  <sheetData>
    <row r="1" customFormat="false" ht="30" hidden="false" customHeight="true" outlineLevel="0" collapsed="false">
      <c r="A1" s="39" t="s">
        <v>92</v>
      </c>
      <c r="B1" s="39" t="s">
        <v>93</v>
      </c>
      <c r="C1" s="39" t="s">
        <v>193</v>
      </c>
      <c r="E1" s="43" t="s">
        <v>194</v>
      </c>
    </row>
    <row r="2" customFormat="false" ht="15" hidden="false" customHeight="true" outlineLevel="0" collapsed="false">
      <c r="A2" s="82" t="s">
        <v>110</v>
      </c>
      <c r="B2" s="82" t="s">
        <v>153</v>
      </c>
      <c r="C2" s="82" t="s">
        <v>67</v>
      </c>
    </row>
    <row r="3" customFormat="false" ht="15" hidden="false" customHeight="true" outlineLevel="0" collapsed="false">
      <c r="A3" s="82" t="s">
        <v>115</v>
      </c>
      <c r="B3" s="82" t="s">
        <v>131</v>
      </c>
      <c r="C3" s="82" t="s">
        <v>70</v>
      </c>
    </row>
    <row r="4" customFormat="false" ht="15" hidden="false" customHeight="true" outlineLevel="0" collapsed="false">
      <c r="A4" s="82" t="s">
        <v>119</v>
      </c>
      <c r="B4" s="82" t="s">
        <v>195</v>
      </c>
      <c r="C4" s="82" t="s">
        <v>67</v>
      </c>
    </row>
    <row r="5" customFormat="false" ht="15" hidden="false" customHeight="true" outlineLevel="0" collapsed="false">
      <c r="A5" s="82" t="s">
        <v>196</v>
      </c>
      <c r="B5" s="82" t="s">
        <v>131</v>
      </c>
      <c r="C5" s="82" t="s">
        <v>70</v>
      </c>
    </row>
    <row r="6" customFormat="false" ht="15" hidden="false" customHeight="true" outlineLevel="0" collapsed="false">
      <c r="A6" s="82" t="s">
        <v>197</v>
      </c>
      <c r="B6" s="82" t="s">
        <v>198</v>
      </c>
      <c r="C6" s="82" t="s">
        <v>69</v>
      </c>
    </row>
    <row r="7" customFormat="false" ht="15" hidden="false" customHeight="true" outlineLevel="0" collapsed="false">
      <c r="A7" s="82" t="s">
        <v>199</v>
      </c>
      <c r="B7" s="82" t="s">
        <v>153</v>
      </c>
      <c r="C7" s="82" t="s">
        <v>67</v>
      </c>
    </row>
    <row r="8" customFormat="false" ht="15" hidden="false" customHeight="true" outlineLevel="0" collapsed="false">
      <c r="A8" s="82" t="s">
        <v>130</v>
      </c>
      <c r="B8" s="82" t="s">
        <v>131</v>
      </c>
      <c r="C8" s="82" t="s">
        <v>68</v>
      </c>
    </row>
    <row r="9" customFormat="false" ht="15" hidden="false" customHeight="true" outlineLevel="0" collapsed="false">
      <c r="A9" s="82" t="s">
        <v>200</v>
      </c>
      <c r="B9" s="82" t="s">
        <v>195</v>
      </c>
      <c r="C9" s="82" t="s">
        <v>69</v>
      </c>
    </row>
    <row r="10" customFormat="false" ht="15" hidden="false" customHeight="true" outlineLevel="0" collapsed="false">
      <c r="A10" s="82" t="s">
        <v>201</v>
      </c>
      <c r="B10" s="82" t="s">
        <v>202</v>
      </c>
      <c r="C10" s="82" t="s">
        <v>70</v>
      </c>
    </row>
    <row r="11" customFormat="false" ht="15" hidden="false" customHeight="true" outlineLevel="0" collapsed="false">
      <c r="A11" s="82" t="s">
        <v>203</v>
      </c>
      <c r="B11" s="82" t="s">
        <v>153</v>
      </c>
      <c r="C11" s="82" t="s">
        <v>67</v>
      </c>
    </row>
    <row r="12" customFormat="false" ht="15" hidden="false" customHeight="true" outlineLevel="0" collapsed="false">
      <c r="A12" s="82" t="s">
        <v>204</v>
      </c>
      <c r="B12" s="82" t="s">
        <v>198</v>
      </c>
      <c r="C12" s="82" t="s">
        <v>67</v>
      </c>
    </row>
    <row r="13" customFormat="false" ht="15" hidden="false" customHeight="true" outlineLevel="0" collapsed="false">
      <c r="A13" s="82" t="s">
        <v>205</v>
      </c>
      <c r="B13" s="82" t="s">
        <v>202</v>
      </c>
      <c r="C13" s="82" t="s">
        <v>69</v>
      </c>
    </row>
    <row r="14" customFormat="false" ht="15" hidden="false" customHeight="true" outlineLevel="0" collapsed="false">
      <c r="A14" s="82" t="s">
        <v>206</v>
      </c>
      <c r="B14" s="82" t="s">
        <v>131</v>
      </c>
      <c r="C14" s="82" t="s">
        <v>68</v>
      </c>
    </row>
    <row r="15" customFormat="false" ht="15" hidden="false" customHeight="true" outlineLevel="0" collapsed="false">
      <c r="A15" s="82" t="s">
        <v>207</v>
      </c>
      <c r="B15" s="82" t="s">
        <v>195</v>
      </c>
      <c r="C15" s="82" t="s">
        <v>67</v>
      </c>
    </row>
    <row r="16" customFormat="false" ht="15" hidden="false" customHeight="true" outlineLevel="0" collapsed="false">
      <c r="A16" s="82" t="s">
        <v>208</v>
      </c>
      <c r="B16" s="82" t="s">
        <v>202</v>
      </c>
      <c r="C16" s="82" t="s">
        <v>70</v>
      </c>
    </row>
    <row r="17" customFormat="false" ht="15" hidden="false" customHeight="true" outlineLevel="0" collapsed="false">
      <c r="A17" s="82"/>
      <c r="B17" s="82"/>
      <c r="C17" s="82"/>
    </row>
    <row r="18" customFormat="false" ht="15" hidden="false" customHeight="true" outlineLevel="0" collapsed="false">
      <c r="A18" s="82"/>
      <c r="B18" s="82"/>
      <c r="C18" s="82"/>
    </row>
    <row r="19" customFormat="false" ht="15" hidden="false" customHeight="true" outlineLevel="0" collapsed="false">
      <c r="A19" s="82"/>
      <c r="B19" s="82"/>
      <c r="C19" s="82"/>
    </row>
    <row r="20" customFormat="false" ht="15" hidden="false" customHeight="true" outlineLevel="0" collapsed="false">
      <c r="A20" s="82"/>
      <c r="B20" s="82"/>
      <c r="C20" s="82"/>
    </row>
    <row r="21" customFormat="false" ht="15" hidden="false" customHeight="true" outlineLevel="0" collapsed="false">
      <c r="A21" s="82"/>
      <c r="B21" s="82"/>
      <c r="C21" s="82"/>
    </row>
    <row r="22" customFormat="false" ht="15" hidden="false" customHeight="true" outlineLevel="0" collapsed="false">
      <c r="A22" s="82"/>
      <c r="B22" s="82"/>
      <c r="C22" s="82"/>
    </row>
    <row r="23" customFormat="false" ht="15" hidden="false" customHeight="true" outlineLevel="0" collapsed="false">
      <c r="A23" s="82"/>
      <c r="B23" s="82"/>
      <c r="C23" s="82"/>
    </row>
    <row r="24" customFormat="false" ht="15" hidden="false" customHeight="true" outlineLevel="0" collapsed="false">
      <c r="A24" s="82"/>
      <c r="B24" s="82"/>
      <c r="C24" s="82"/>
    </row>
    <row r="25" customFormat="false" ht="15" hidden="false" customHeight="true" outlineLevel="0" collapsed="false">
      <c r="A25" s="82"/>
      <c r="B25" s="82"/>
      <c r="C25" s="82"/>
    </row>
    <row r="26" customFormat="false" ht="15" hidden="false" customHeight="true" outlineLevel="0" collapsed="false">
      <c r="A26" s="82"/>
      <c r="B26" s="82"/>
      <c r="C26" s="82"/>
    </row>
    <row r="27" customFormat="false" ht="15" hidden="false" customHeight="true" outlineLevel="0" collapsed="false">
      <c r="A27" s="82"/>
      <c r="B27" s="82"/>
      <c r="C27" s="82"/>
    </row>
    <row r="28" customFormat="false" ht="15" hidden="false" customHeight="true" outlineLevel="0" collapsed="false">
      <c r="A28" s="82"/>
      <c r="B28" s="82"/>
      <c r="C28" s="82"/>
    </row>
    <row r="29" customFormat="false" ht="15" hidden="false" customHeight="true" outlineLevel="0" collapsed="false">
      <c r="A29" s="82"/>
      <c r="B29" s="82"/>
      <c r="C29" s="82"/>
    </row>
    <row r="30" customFormat="false" ht="15" hidden="false" customHeight="true" outlineLevel="0" collapsed="false">
      <c r="A30" s="82"/>
      <c r="B30" s="82"/>
      <c r="C30" s="82"/>
    </row>
    <row r="31" customFormat="false" ht="15" hidden="false" customHeight="true" outlineLevel="0" collapsed="false">
      <c r="A31" s="82"/>
      <c r="B31" s="82"/>
      <c r="C31" s="82"/>
    </row>
    <row r="32" customFormat="false" ht="15" hidden="false" customHeight="true" outlineLevel="0" collapsed="false">
      <c r="A32" s="82"/>
      <c r="B32" s="82"/>
      <c r="C32" s="82"/>
    </row>
    <row r="33" customFormat="false" ht="15" hidden="false" customHeight="true" outlineLevel="0" collapsed="false">
      <c r="A33" s="82"/>
      <c r="B33" s="82"/>
      <c r="C33" s="82"/>
    </row>
    <row r="34" customFormat="false" ht="15" hidden="false" customHeight="true" outlineLevel="0" collapsed="false">
      <c r="A34" s="82"/>
      <c r="B34" s="82"/>
      <c r="C34" s="82"/>
    </row>
    <row r="35" customFormat="false" ht="15" hidden="false" customHeight="true" outlineLevel="0" collapsed="false">
      <c r="A35" s="82"/>
      <c r="B35" s="82"/>
      <c r="C35" s="82"/>
    </row>
    <row r="36" customFormat="false" ht="15" hidden="false" customHeight="true" outlineLevel="0" collapsed="false">
      <c r="A36" s="82"/>
      <c r="B36" s="82"/>
      <c r="C36" s="82"/>
    </row>
    <row r="37" customFormat="false" ht="15" hidden="false" customHeight="true" outlineLevel="0" collapsed="false">
      <c r="A37" s="82"/>
      <c r="B37" s="82"/>
      <c r="C37" s="82"/>
    </row>
    <row r="38" customFormat="false" ht="15" hidden="false" customHeight="true" outlineLevel="0" collapsed="false">
      <c r="A38" s="82"/>
      <c r="B38" s="82"/>
      <c r="C38" s="82"/>
    </row>
    <row r="39" customFormat="false" ht="15" hidden="false" customHeight="true" outlineLevel="0" collapsed="false">
      <c r="A39" s="82"/>
      <c r="B39" s="82"/>
      <c r="C39" s="82"/>
    </row>
    <row r="40" customFormat="false" ht="15" hidden="false" customHeight="true" outlineLevel="0" collapsed="false">
      <c r="A40" s="82"/>
      <c r="B40" s="82"/>
      <c r="C40" s="82"/>
    </row>
    <row r="41" customFormat="false" ht="15" hidden="false" customHeight="true" outlineLevel="0" collapsed="false">
      <c r="A41" s="82"/>
      <c r="B41" s="82"/>
      <c r="C41" s="82"/>
    </row>
    <row r="42" customFormat="false" ht="15" hidden="false" customHeight="true" outlineLevel="0" collapsed="false">
      <c r="A42" s="82"/>
      <c r="B42" s="82"/>
      <c r="C42" s="82"/>
    </row>
    <row r="43" customFormat="false" ht="15" hidden="false" customHeight="true" outlineLevel="0" collapsed="false">
      <c r="A43" s="82"/>
      <c r="B43" s="82"/>
      <c r="C43" s="82"/>
    </row>
    <row r="44" customFormat="false" ht="15" hidden="false" customHeight="true" outlineLevel="0" collapsed="false">
      <c r="A44" s="82"/>
      <c r="B44" s="82"/>
      <c r="C44" s="82"/>
    </row>
    <row r="45" customFormat="false" ht="15" hidden="false" customHeight="true" outlineLevel="0" collapsed="false">
      <c r="A45" s="82"/>
      <c r="B45" s="82"/>
      <c r="C45" s="82"/>
    </row>
    <row r="46" customFormat="false" ht="15" hidden="false" customHeight="true" outlineLevel="0" collapsed="false">
      <c r="A46" s="82"/>
      <c r="B46" s="82"/>
      <c r="C46" s="82"/>
    </row>
    <row r="47" customFormat="false" ht="15" hidden="false" customHeight="true" outlineLevel="0" collapsed="false">
      <c r="A47" s="82"/>
      <c r="B47" s="82"/>
      <c r="C47" s="82"/>
    </row>
    <row r="48" customFormat="false" ht="15" hidden="false" customHeight="true" outlineLevel="0" collapsed="false">
      <c r="A48" s="82"/>
      <c r="B48" s="82"/>
      <c r="C48" s="82"/>
    </row>
    <row r="49" customFormat="false" ht="15" hidden="false" customHeight="true" outlineLevel="0" collapsed="false">
      <c r="A49" s="82"/>
      <c r="B49" s="82"/>
      <c r="C49" s="82"/>
    </row>
    <row r="50" customFormat="false" ht="15" hidden="false" customHeight="true" outlineLevel="0" collapsed="false">
      <c r="A50" s="82"/>
      <c r="B50" s="82"/>
      <c r="C50" s="82"/>
    </row>
    <row r="51" customFormat="false" ht="15" hidden="false" customHeight="true" outlineLevel="0" collapsed="false">
      <c r="A51" s="82"/>
      <c r="B51" s="82"/>
      <c r="C51" s="82"/>
    </row>
    <row r="52" customFormat="false" ht="15" hidden="false" customHeight="true" outlineLevel="0" collapsed="false">
      <c r="A52" s="82"/>
      <c r="B52" s="82"/>
      <c r="C52" s="82"/>
    </row>
    <row r="53" customFormat="false" ht="15" hidden="false" customHeight="true" outlineLevel="0" collapsed="false">
      <c r="A53" s="82"/>
      <c r="B53" s="82"/>
      <c r="C53" s="82"/>
    </row>
    <row r="54" customFormat="false" ht="15" hidden="false" customHeight="true" outlineLevel="0" collapsed="false">
      <c r="A54" s="82"/>
      <c r="B54" s="82"/>
      <c r="C54" s="82"/>
    </row>
    <row r="55" customFormat="false" ht="15" hidden="false" customHeight="true" outlineLevel="0" collapsed="false">
      <c r="A55" s="82"/>
      <c r="B55" s="82"/>
      <c r="C55" s="82"/>
    </row>
    <row r="56" customFormat="false" ht="15" hidden="false" customHeight="true" outlineLevel="0" collapsed="false">
      <c r="A56" s="82"/>
      <c r="B56" s="82"/>
      <c r="C56" s="82"/>
    </row>
    <row r="57" customFormat="false" ht="15" hidden="false" customHeight="true" outlineLevel="0" collapsed="false">
      <c r="A57" s="82"/>
      <c r="B57" s="82"/>
      <c r="C57" s="82"/>
    </row>
    <row r="58" customFormat="false" ht="15" hidden="false" customHeight="true" outlineLevel="0" collapsed="false">
      <c r="A58" s="82"/>
      <c r="B58" s="82"/>
      <c r="C58" s="82"/>
    </row>
    <row r="59" customFormat="false" ht="15" hidden="false" customHeight="true" outlineLevel="0" collapsed="false">
      <c r="A59" s="82"/>
      <c r="B59" s="82"/>
      <c r="C59" s="82"/>
    </row>
    <row r="60" customFormat="false" ht="15" hidden="false" customHeight="true" outlineLevel="0" collapsed="false">
      <c r="A60" s="82"/>
      <c r="B60" s="82"/>
      <c r="C60" s="82"/>
    </row>
    <row r="61" customFormat="false" ht="15" hidden="false" customHeight="true" outlineLevel="0" collapsed="false">
      <c r="A61" s="82"/>
      <c r="B61" s="82"/>
      <c r="C61" s="82"/>
    </row>
    <row r="62" customFormat="false" ht="15" hidden="false" customHeight="true" outlineLevel="0" collapsed="false">
      <c r="A62" s="82"/>
      <c r="B62" s="82"/>
      <c r="C62" s="82"/>
    </row>
    <row r="63" customFormat="false" ht="15" hidden="false" customHeight="true" outlineLevel="0" collapsed="false">
      <c r="A63" s="82"/>
      <c r="B63" s="82"/>
      <c r="C63" s="82"/>
    </row>
    <row r="64" customFormat="false" ht="15" hidden="false" customHeight="true" outlineLevel="0" collapsed="false">
      <c r="A64" s="82"/>
      <c r="B64" s="82"/>
      <c r="C64" s="82"/>
    </row>
    <row r="65" customFormat="false" ht="15" hidden="false" customHeight="true" outlineLevel="0" collapsed="false">
      <c r="A65" s="82"/>
      <c r="B65" s="82"/>
      <c r="C65" s="82"/>
    </row>
    <row r="66" customFormat="false" ht="15" hidden="false" customHeight="true" outlineLevel="0" collapsed="false">
      <c r="A66" s="82"/>
      <c r="B66" s="82"/>
      <c r="C66" s="82"/>
    </row>
    <row r="67" customFormat="false" ht="15" hidden="false" customHeight="true" outlineLevel="0" collapsed="false">
      <c r="A67" s="82"/>
      <c r="B67" s="82"/>
      <c r="C67" s="82"/>
    </row>
    <row r="68" customFormat="false" ht="15" hidden="false" customHeight="true" outlineLevel="0" collapsed="false">
      <c r="A68" s="82"/>
      <c r="B68" s="82"/>
      <c r="C68" s="82"/>
    </row>
    <row r="69" customFormat="false" ht="15" hidden="false" customHeight="true" outlineLevel="0" collapsed="false">
      <c r="A69" s="82"/>
      <c r="B69" s="82"/>
      <c r="C69" s="82"/>
    </row>
    <row r="70" customFormat="false" ht="15" hidden="false" customHeight="true" outlineLevel="0" collapsed="false">
      <c r="A70" s="82"/>
      <c r="B70" s="82"/>
      <c r="C70" s="82"/>
    </row>
    <row r="71" customFormat="false" ht="15" hidden="false" customHeight="true" outlineLevel="0" collapsed="false">
      <c r="A71" s="82"/>
      <c r="B71" s="82"/>
      <c r="C71" s="82"/>
    </row>
    <row r="72" customFormat="false" ht="15" hidden="false" customHeight="true" outlineLevel="0" collapsed="false">
      <c r="A72" s="82"/>
      <c r="B72" s="82"/>
      <c r="C72" s="82"/>
    </row>
    <row r="73" customFormat="false" ht="15" hidden="false" customHeight="true" outlineLevel="0" collapsed="false">
      <c r="A73" s="82"/>
      <c r="B73" s="82"/>
      <c r="C73" s="82"/>
    </row>
    <row r="74" customFormat="false" ht="15" hidden="false" customHeight="true" outlineLevel="0" collapsed="false">
      <c r="A74" s="82"/>
      <c r="B74" s="82"/>
      <c r="C74" s="82"/>
    </row>
    <row r="75" customFormat="false" ht="15" hidden="false" customHeight="true" outlineLevel="0" collapsed="false">
      <c r="A75" s="82"/>
      <c r="B75" s="82"/>
      <c r="C75" s="82"/>
    </row>
    <row r="76" customFormat="false" ht="15" hidden="false" customHeight="true" outlineLevel="0" collapsed="false">
      <c r="A76" s="82"/>
      <c r="B76" s="82"/>
      <c r="C76" s="82"/>
    </row>
    <row r="77" customFormat="false" ht="15" hidden="false" customHeight="true" outlineLevel="0" collapsed="false">
      <c r="A77" s="82"/>
      <c r="B77" s="82"/>
      <c r="C77" s="82"/>
    </row>
    <row r="78" customFormat="false" ht="15" hidden="false" customHeight="true" outlineLevel="0" collapsed="false">
      <c r="A78" s="82"/>
      <c r="B78" s="82"/>
      <c r="C78" s="82"/>
    </row>
    <row r="79" customFormat="false" ht="15" hidden="false" customHeight="true" outlineLevel="0" collapsed="false">
      <c r="A79" s="82"/>
      <c r="B79" s="82"/>
      <c r="C79" s="82"/>
    </row>
    <row r="80" customFormat="false" ht="15" hidden="false" customHeight="true" outlineLevel="0" collapsed="false">
      <c r="A80" s="82"/>
      <c r="B80" s="82"/>
      <c r="C80" s="82"/>
    </row>
    <row r="81" customFormat="false" ht="15" hidden="false" customHeight="true" outlineLevel="0" collapsed="false">
      <c r="A81" s="82"/>
      <c r="B81" s="82"/>
      <c r="C81" s="82"/>
    </row>
    <row r="82" customFormat="false" ht="15" hidden="false" customHeight="true" outlineLevel="0" collapsed="false">
      <c r="A82" s="82"/>
      <c r="B82" s="82"/>
      <c r="C82" s="82"/>
    </row>
    <row r="83" customFormat="false" ht="15" hidden="false" customHeight="true" outlineLevel="0" collapsed="false">
      <c r="A83" s="82"/>
      <c r="B83" s="82"/>
      <c r="C83" s="82"/>
    </row>
    <row r="84" customFormat="false" ht="15" hidden="false" customHeight="true" outlineLevel="0" collapsed="false">
      <c r="A84" s="82"/>
      <c r="B84" s="82"/>
      <c r="C84" s="82"/>
    </row>
    <row r="85" customFormat="false" ht="15" hidden="false" customHeight="true" outlineLevel="0" collapsed="false">
      <c r="A85" s="82"/>
      <c r="B85" s="82"/>
      <c r="C85" s="82"/>
    </row>
    <row r="86" customFormat="false" ht="15" hidden="false" customHeight="true" outlineLevel="0" collapsed="false">
      <c r="A86" s="82"/>
      <c r="B86" s="82"/>
      <c r="C86" s="82"/>
    </row>
    <row r="87" customFormat="false" ht="15" hidden="false" customHeight="true" outlineLevel="0" collapsed="false">
      <c r="A87" s="82"/>
      <c r="B87" s="82"/>
      <c r="C87" s="82"/>
    </row>
    <row r="88" customFormat="false" ht="15" hidden="false" customHeight="true" outlineLevel="0" collapsed="false">
      <c r="A88" s="82"/>
      <c r="B88" s="82"/>
      <c r="C88" s="82"/>
    </row>
    <row r="89" customFormat="false" ht="15" hidden="false" customHeight="true" outlineLevel="0" collapsed="false">
      <c r="A89" s="82"/>
      <c r="B89" s="82"/>
      <c r="C89" s="82"/>
    </row>
    <row r="90" customFormat="false" ht="15" hidden="false" customHeight="true" outlineLevel="0" collapsed="false">
      <c r="A90" s="82"/>
      <c r="B90" s="82"/>
      <c r="C90" s="82"/>
    </row>
    <row r="91" customFormat="false" ht="15" hidden="false" customHeight="true" outlineLevel="0" collapsed="false">
      <c r="A91" s="82"/>
      <c r="B91" s="82"/>
      <c r="C91" s="82"/>
    </row>
    <row r="92" customFormat="false" ht="15" hidden="false" customHeight="true" outlineLevel="0" collapsed="false">
      <c r="A92" s="82"/>
      <c r="B92" s="82"/>
      <c r="C92" s="82"/>
    </row>
    <row r="93" customFormat="false" ht="15" hidden="false" customHeight="true" outlineLevel="0" collapsed="false">
      <c r="A93" s="82"/>
      <c r="B93" s="82"/>
      <c r="C93" s="82"/>
    </row>
    <row r="94" customFormat="false" ht="15" hidden="false" customHeight="true" outlineLevel="0" collapsed="false">
      <c r="A94" s="82"/>
      <c r="B94" s="82"/>
      <c r="C94" s="82"/>
    </row>
    <row r="95" customFormat="false" ht="15" hidden="false" customHeight="true" outlineLevel="0" collapsed="false">
      <c r="A95" s="82"/>
      <c r="B95" s="82"/>
      <c r="C95" s="82"/>
    </row>
    <row r="96" customFormat="false" ht="15" hidden="false" customHeight="true" outlineLevel="0" collapsed="false">
      <c r="A96" s="82"/>
      <c r="B96" s="82"/>
      <c r="C96" s="82"/>
    </row>
    <row r="97" customFormat="false" ht="15" hidden="false" customHeight="true" outlineLevel="0" collapsed="false">
      <c r="A97" s="82"/>
      <c r="B97" s="82"/>
      <c r="C97" s="82"/>
    </row>
    <row r="98" customFormat="false" ht="15" hidden="false" customHeight="true" outlineLevel="0" collapsed="false">
      <c r="A98" s="82"/>
      <c r="B98" s="82"/>
      <c r="C98" s="82"/>
    </row>
    <row r="99" customFormat="false" ht="15" hidden="false" customHeight="true" outlineLevel="0" collapsed="false">
      <c r="A99" s="82"/>
      <c r="B99" s="82"/>
      <c r="C99" s="82"/>
    </row>
    <row r="100" customFormat="false" ht="15" hidden="false" customHeight="true" outlineLevel="0" collapsed="false">
      <c r="A100" s="82"/>
      <c r="B100" s="82"/>
      <c r="C100" s="82"/>
    </row>
    <row r="101" customFormat="false" ht="15" hidden="false" customHeight="true" outlineLevel="0" collapsed="false">
      <c r="A101" s="82"/>
      <c r="B101" s="82"/>
      <c r="C101" s="82"/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60"/>
    <col collapsed="false" customWidth="true" hidden="false" outlineLevel="0" max="26" min="3" style="1" width="8.71"/>
  </cols>
  <sheetData>
    <row r="1" customFormat="false" ht="30" hidden="false" customHeight="true" outlineLevel="0" collapsed="false">
      <c r="A1" s="39" t="s">
        <v>209</v>
      </c>
      <c r="B1" s="39" t="s">
        <v>210</v>
      </c>
    </row>
    <row r="2" customFormat="false" ht="15" hidden="false" customHeight="true" outlineLevel="0" collapsed="false">
      <c r="A2" s="82" t="s">
        <v>55</v>
      </c>
      <c r="B2" s="82" t="s">
        <v>211</v>
      </c>
    </row>
    <row r="3" customFormat="false" ht="15" hidden="false" customHeight="true" outlineLevel="0" collapsed="false">
      <c r="A3" s="82" t="s">
        <v>65</v>
      </c>
      <c r="B3" s="82" t="s">
        <v>212</v>
      </c>
    </row>
    <row r="4" customFormat="false" ht="15" hidden="false" customHeight="true" outlineLevel="0" collapsed="false">
      <c r="A4" s="82" t="s">
        <v>23</v>
      </c>
      <c r="B4" s="82" t="s">
        <v>213</v>
      </c>
    </row>
    <row r="5" customFormat="false" ht="15" hidden="false" customHeight="true" outlineLevel="0" collapsed="false">
      <c r="A5" s="82" t="s">
        <v>214</v>
      </c>
      <c r="B5" s="82" t="s">
        <v>215</v>
      </c>
    </row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true" outlineLevel="0" collapsed="false">
      <c r="A1" s="83" t="n">
        <v>46023</v>
      </c>
    </row>
    <row r="2" customFormat="false" ht="15" hidden="false" customHeight="true" outlineLevel="0" collapsed="false">
      <c r="A2" s="83" t="n">
        <v>46024</v>
      </c>
    </row>
    <row r="3" customFormat="false" ht="15" hidden="false" customHeight="true" outlineLevel="0" collapsed="false">
      <c r="A3" s="83" t="n">
        <v>46025</v>
      </c>
    </row>
    <row r="4" customFormat="false" ht="15" hidden="false" customHeight="true" outlineLevel="0" collapsed="false">
      <c r="A4" s="83" t="n">
        <v>46026</v>
      </c>
    </row>
    <row r="5" customFormat="false" ht="15" hidden="false" customHeight="true" outlineLevel="0" collapsed="false">
      <c r="A5" s="83" t="n">
        <v>46027</v>
      </c>
    </row>
    <row r="6" customFormat="false" ht="15" hidden="false" customHeight="true" outlineLevel="0" collapsed="false">
      <c r="A6" s="83" t="n">
        <v>46028</v>
      </c>
    </row>
    <row r="7" customFormat="false" ht="15" hidden="false" customHeight="true" outlineLevel="0" collapsed="false">
      <c r="A7" s="83" t="n">
        <v>46029</v>
      </c>
    </row>
    <row r="8" customFormat="false" ht="15" hidden="false" customHeight="true" outlineLevel="0" collapsed="false">
      <c r="A8" s="83" t="n">
        <v>46030</v>
      </c>
    </row>
    <row r="9" customFormat="false" ht="15" hidden="false" customHeight="true" outlineLevel="0" collapsed="false">
      <c r="A9" s="83" t="n">
        <v>46031</v>
      </c>
    </row>
    <row r="10" customFormat="false" ht="15" hidden="false" customHeight="true" outlineLevel="0" collapsed="false">
      <c r="A10" s="83" t="n">
        <v>46032</v>
      </c>
    </row>
    <row r="11" customFormat="false" ht="15" hidden="false" customHeight="true" outlineLevel="0" collapsed="false">
      <c r="A11" s="83" t="n">
        <v>46033</v>
      </c>
    </row>
    <row r="12" customFormat="false" ht="15" hidden="false" customHeight="true" outlineLevel="0" collapsed="false">
      <c r="A12" s="83" t="n">
        <v>46034</v>
      </c>
    </row>
    <row r="13" customFormat="false" ht="15" hidden="false" customHeight="true" outlineLevel="0" collapsed="false">
      <c r="A13" s="83" t="n">
        <v>46035</v>
      </c>
    </row>
    <row r="14" customFormat="false" ht="15" hidden="false" customHeight="true" outlineLevel="0" collapsed="false">
      <c r="A14" s="83" t="n">
        <v>46036</v>
      </c>
    </row>
    <row r="15" customFormat="false" ht="15" hidden="false" customHeight="true" outlineLevel="0" collapsed="false">
      <c r="A15" s="83" t="n">
        <v>46037</v>
      </c>
    </row>
    <row r="16" customFormat="false" ht="15" hidden="false" customHeight="true" outlineLevel="0" collapsed="false">
      <c r="A16" s="83" t="n">
        <v>46038</v>
      </c>
    </row>
    <row r="17" customFormat="false" ht="15" hidden="false" customHeight="true" outlineLevel="0" collapsed="false">
      <c r="A17" s="83" t="n">
        <v>46039</v>
      </c>
    </row>
    <row r="18" customFormat="false" ht="15" hidden="false" customHeight="true" outlineLevel="0" collapsed="false">
      <c r="A18" s="83" t="n">
        <v>46040</v>
      </c>
    </row>
    <row r="19" customFormat="false" ht="15" hidden="false" customHeight="true" outlineLevel="0" collapsed="false">
      <c r="A19" s="83" t="n">
        <v>46041</v>
      </c>
    </row>
    <row r="20" customFormat="false" ht="15" hidden="false" customHeight="true" outlineLevel="0" collapsed="false">
      <c r="A20" s="83" t="n">
        <v>46042</v>
      </c>
    </row>
    <row r="21" customFormat="false" ht="15" hidden="false" customHeight="true" outlineLevel="0" collapsed="false">
      <c r="A21" s="83" t="n">
        <v>46043</v>
      </c>
    </row>
    <row r="22" customFormat="false" ht="15" hidden="false" customHeight="true" outlineLevel="0" collapsed="false">
      <c r="A22" s="83" t="n">
        <v>46044</v>
      </c>
    </row>
    <row r="23" customFormat="false" ht="15" hidden="false" customHeight="true" outlineLevel="0" collapsed="false">
      <c r="A23" s="83" t="n">
        <v>46045</v>
      </c>
    </row>
    <row r="24" customFormat="false" ht="15" hidden="false" customHeight="true" outlineLevel="0" collapsed="false">
      <c r="A24" s="83" t="n">
        <v>46046</v>
      </c>
    </row>
    <row r="25" customFormat="false" ht="15" hidden="false" customHeight="true" outlineLevel="0" collapsed="false">
      <c r="A25" s="83" t="n">
        <v>46047</v>
      </c>
    </row>
    <row r="26" customFormat="false" ht="15" hidden="false" customHeight="true" outlineLevel="0" collapsed="false">
      <c r="A26" s="83" t="n">
        <v>46048</v>
      </c>
    </row>
    <row r="27" customFormat="false" ht="15" hidden="false" customHeight="true" outlineLevel="0" collapsed="false">
      <c r="A27" s="83" t="n">
        <v>46049</v>
      </c>
    </row>
    <row r="28" customFormat="false" ht="15" hidden="false" customHeight="true" outlineLevel="0" collapsed="false">
      <c r="A28" s="83" t="n">
        <v>46050</v>
      </c>
    </row>
    <row r="29" customFormat="false" ht="15" hidden="false" customHeight="true" outlineLevel="0" collapsed="false">
      <c r="A29" s="83" t="n">
        <v>46051</v>
      </c>
    </row>
    <row r="30" customFormat="false" ht="15" hidden="false" customHeight="true" outlineLevel="0" collapsed="false">
      <c r="A30" s="83" t="n">
        <v>46052</v>
      </c>
    </row>
    <row r="31" customFormat="false" ht="15" hidden="false" customHeight="true" outlineLevel="0" collapsed="false">
      <c r="A31" s="83" t="n">
        <v>46053</v>
      </c>
    </row>
    <row r="32" customFormat="false" ht="15" hidden="false" customHeight="true" outlineLevel="0" collapsed="false">
      <c r="A32" s="83" t="n">
        <v>46054</v>
      </c>
    </row>
    <row r="33" customFormat="false" ht="15" hidden="false" customHeight="true" outlineLevel="0" collapsed="false">
      <c r="A33" s="83" t="n">
        <v>46055</v>
      </c>
    </row>
    <row r="34" customFormat="false" ht="15" hidden="false" customHeight="true" outlineLevel="0" collapsed="false">
      <c r="A34" s="83" t="n">
        <v>46056</v>
      </c>
    </row>
    <row r="35" customFormat="false" ht="15" hidden="false" customHeight="true" outlineLevel="0" collapsed="false">
      <c r="A35" s="83" t="n">
        <v>46057</v>
      </c>
    </row>
    <row r="36" customFormat="false" ht="15" hidden="false" customHeight="true" outlineLevel="0" collapsed="false">
      <c r="A36" s="83" t="n">
        <v>46058</v>
      </c>
    </row>
    <row r="37" customFormat="false" ht="15" hidden="false" customHeight="true" outlineLevel="0" collapsed="false">
      <c r="A37" s="83" t="n">
        <v>46059</v>
      </c>
    </row>
    <row r="38" customFormat="false" ht="15" hidden="false" customHeight="true" outlineLevel="0" collapsed="false">
      <c r="A38" s="83" t="n">
        <v>46060</v>
      </c>
    </row>
    <row r="39" customFormat="false" ht="15" hidden="false" customHeight="true" outlineLevel="0" collapsed="false">
      <c r="A39" s="83" t="n">
        <v>46061</v>
      </c>
    </row>
    <row r="40" customFormat="false" ht="15" hidden="false" customHeight="true" outlineLevel="0" collapsed="false">
      <c r="A40" s="83" t="n">
        <v>46062</v>
      </c>
    </row>
    <row r="41" customFormat="false" ht="15" hidden="false" customHeight="true" outlineLevel="0" collapsed="false">
      <c r="A41" s="83" t="n">
        <v>46063</v>
      </c>
    </row>
    <row r="42" customFormat="false" ht="15" hidden="false" customHeight="true" outlineLevel="0" collapsed="false">
      <c r="A42" s="83" t="n">
        <v>46064</v>
      </c>
    </row>
    <row r="43" customFormat="false" ht="15" hidden="false" customHeight="true" outlineLevel="0" collapsed="false">
      <c r="A43" s="83" t="n">
        <v>46065</v>
      </c>
    </row>
    <row r="44" customFormat="false" ht="15" hidden="false" customHeight="true" outlineLevel="0" collapsed="false">
      <c r="A44" s="83" t="n">
        <v>46066</v>
      </c>
    </row>
    <row r="45" customFormat="false" ht="15" hidden="false" customHeight="true" outlineLevel="0" collapsed="false">
      <c r="A45" s="83" t="n">
        <v>46067</v>
      </c>
    </row>
    <row r="46" customFormat="false" ht="15" hidden="false" customHeight="true" outlineLevel="0" collapsed="false">
      <c r="A46" s="83" t="n">
        <v>46068</v>
      </c>
    </row>
    <row r="47" customFormat="false" ht="15" hidden="false" customHeight="true" outlineLevel="0" collapsed="false">
      <c r="A47" s="83" t="n">
        <v>46069</v>
      </c>
    </row>
    <row r="48" customFormat="false" ht="15" hidden="false" customHeight="true" outlineLevel="0" collapsed="false">
      <c r="A48" s="83" t="n">
        <v>46070</v>
      </c>
    </row>
    <row r="49" customFormat="false" ht="15" hidden="false" customHeight="true" outlineLevel="0" collapsed="false">
      <c r="A49" s="83" t="n">
        <v>46071</v>
      </c>
    </row>
    <row r="50" customFormat="false" ht="15" hidden="false" customHeight="true" outlineLevel="0" collapsed="false">
      <c r="A50" s="83" t="n">
        <v>46072</v>
      </c>
    </row>
    <row r="51" customFormat="false" ht="15" hidden="false" customHeight="true" outlineLevel="0" collapsed="false">
      <c r="A51" s="83" t="n">
        <v>46073</v>
      </c>
    </row>
    <row r="52" customFormat="false" ht="15" hidden="false" customHeight="true" outlineLevel="0" collapsed="false">
      <c r="A52" s="83" t="n">
        <v>46074</v>
      </c>
    </row>
    <row r="53" customFormat="false" ht="15" hidden="false" customHeight="true" outlineLevel="0" collapsed="false">
      <c r="A53" s="83" t="n">
        <v>46075</v>
      </c>
    </row>
    <row r="54" customFormat="false" ht="15" hidden="false" customHeight="true" outlineLevel="0" collapsed="false">
      <c r="A54" s="83" t="n">
        <v>46076</v>
      </c>
    </row>
    <row r="55" customFormat="false" ht="15" hidden="false" customHeight="true" outlineLevel="0" collapsed="false">
      <c r="A55" s="83" t="n">
        <v>46077</v>
      </c>
    </row>
    <row r="56" customFormat="false" ht="15" hidden="false" customHeight="true" outlineLevel="0" collapsed="false">
      <c r="A56" s="83" t="n">
        <v>46078</v>
      </c>
    </row>
    <row r="57" customFormat="false" ht="15" hidden="false" customHeight="true" outlineLevel="0" collapsed="false">
      <c r="A57" s="83" t="n">
        <v>46079</v>
      </c>
    </row>
    <row r="58" customFormat="false" ht="15" hidden="false" customHeight="true" outlineLevel="0" collapsed="false">
      <c r="A58" s="83" t="n">
        <v>46080</v>
      </c>
    </row>
    <row r="59" customFormat="false" ht="15" hidden="false" customHeight="true" outlineLevel="0" collapsed="false">
      <c r="A59" s="83" t="n">
        <v>46081</v>
      </c>
    </row>
    <row r="60" customFormat="false" ht="15" hidden="false" customHeight="true" outlineLevel="0" collapsed="false">
      <c r="A60" s="83" t="n">
        <v>46082</v>
      </c>
    </row>
    <row r="61" customFormat="false" ht="15" hidden="false" customHeight="true" outlineLevel="0" collapsed="false">
      <c r="A61" s="83" t="n">
        <v>46083</v>
      </c>
    </row>
    <row r="62" customFormat="false" ht="15" hidden="false" customHeight="true" outlineLevel="0" collapsed="false">
      <c r="A62" s="83" t="n">
        <v>46084</v>
      </c>
    </row>
    <row r="63" customFormat="false" ht="15" hidden="false" customHeight="true" outlineLevel="0" collapsed="false">
      <c r="A63" s="83" t="n">
        <v>46085</v>
      </c>
    </row>
    <row r="64" customFormat="false" ht="15" hidden="false" customHeight="true" outlineLevel="0" collapsed="false">
      <c r="A64" s="83" t="n">
        <v>46086</v>
      </c>
    </row>
    <row r="65" customFormat="false" ht="15" hidden="false" customHeight="true" outlineLevel="0" collapsed="false">
      <c r="A65" s="83" t="n">
        <v>46087</v>
      </c>
    </row>
    <row r="66" customFormat="false" ht="15" hidden="false" customHeight="true" outlineLevel="0" collapsed="false">
      <c r="A66" s="83" t="n">
        <v>46088</v>
      </c>
    </row>
    <row r="67" customFormat="false" ht="15" hidden="false" customHeight="true" outlineLevel="0" collapsed="false">
      <c r="A67" s="83" t="n">
        <v>46089</v>
      </c>
    </row>
    <row r="68" customFormat="false" ht="15" hidden="false" customHeight="true" outlineLevel="0" collapsed="false">
      <c r="A68" s="83" t="n">
        <v>46090</v>
      </c>
    </row>
    <row r="69" customFormat="false" ht="15" hidden="false" customHeight="true" outlineLevel="0" collapsed="false">
      <c r="A69" s="83" t="n">
        <v>46091</v>
      </c>
    </row>
    <row r="70" customFormat="false" ht="15" hidden="false" customHeight="true" outlineLevel="0" collapsed="false">
      <c r="A70" s="83" t="n">
        <v>46092</v>
      </c>
    </row>
    <row r="71" customFormat="false" ht="15" hidden="false" customHeight="true" outlineLevel="0" collapsed="false">
      <c r="A71" s="83" t="n">
        <v>46093</v>
      </c>
    </row>
    <row r="72" customFormat="false" ht="15" hidden="false" customHeight="true" outlineLevel="0" collapsed="false">
      <c r="A72" s="83" t="n">
        <v>46094</v>
      </c>
    </row>
    <row r="73" customFormat="false" ht="15" hidden="false" customHeight="true" outlineLevel="0" collapsed="false">
      <c r="A73" s="83" t="n">
        <v>46095</v>
      </c>
    </row>
    <row r="74" customFormat="false" ht="15" hidden="false" customHeight="true" outlineLevel="0" collapsed="false">
      <c r="A74" s="83" t="n">
        <v>46096</v>
      </c>
    </row>
    <row r="75" customFormat="false" ht="15" hidden="false" customHeight="true" outlineLevel="0" collapsed="false">
      <c r="A75" s="83" t="n">
        <v>46097</v>
      </c>
    </row>
    <row r="76" customFormat="false" ht="15" hidden="false" customHeight="true" outlineLevel="0" collapsed="false">
      <c r="A76" s="83" t="n">
        <v>46098</v>
      </c>
    </row>
    <row r="77" customFormat="false" ht="15" hidden="false" customHeight="true" outlineLevel="0" collapsed="false">
      <c r="A77" s="83" t="n">
        <v>46099</v>
      </c>
    </row>
    <row r="78" customFormat="false" ht="15" hidden="false" customHeight="true" outlineLevel="0" collapsed="false">
      <c r="A78" s="83" t="n">
        <v>46100</v>
      </c>
    </row>
    <row r="79" customFormat="false" ht="15" hidden="false" customHeight="true" outlineLevel="0" collapsed="false">
      <c r="A79" s="83" t="n">
        <v>46101</v>
      </c>
    </row>
    <row r="80" customFormat="false" ht="15" hidden="false" customHeight="true" outlineLevel="0" collapsed="false">
      <c r="A80" s="83" t="n">
        <v>46102</v>
      </c>
    </row>
    <row r="81" customFormat="false" ht="15" hidden="false" customHeight="true" outlineLevel="0" collapsed="false">
      <c r="A81" s="83" t="n">
        <v>46103</v>
      </c>
    </row>
    <row r="82" customFormat="false" ht="15" hidden="false" customHeight="true" outlineLevel="0" collapsed="false">
      <c r="A82" s="83" t="n">
        <v>46104</v>
      </c>
    </row>
    <row r="83" customFormat="false" ht="15" hidden="false" customHeight="true" outlineLevel="0" collapsed="false">
      <c r="A83" s="83" t="n">
        <v>46105</v>
      </c>
    </row>
    <row r="84" customFormat="false" ht="15" hidden="false" customHeight="true" outlineLevel="0" collapsed="false">
      <c r="A84" s="83" t="n">
        <v>46106</v>
      </c>
    </row>
    <row r="85" customFormat="false" ht="15" hidden="false" customHeight="true" outlineLevel="0" collapsed="false">
      <c r="A85" s="83" t="n">
        <v>46107</v>
      </c>
    </row>
    <row r="86" customFormat="false" ht="15" hidden="false" customHeight="true" outlineLevel="0" collapsed="false">
      <c r="A86" s="83" t="n">
        <v>46108</v>
      </c>
    </row>
    <row r="87" customFormat="false" ht="15" hidden="false" customHeight="true" outlineLevel="0" collapsed="false">
      <c r="A87" s="83" t="n">
        <v>46109</v>
      </c>
    </row>
    <row r="88" customFormat="false" ht="15" hidden="false" customHeight="true" outlineLevel="0" collapsed="false">
      <c r="A88" s="83" t="n">
        <v>46110</v>
      </c>
    </row>
    <row r="89" customFormat="false" ht="15" hidden="false" customHeight="true" outlineLevel="0" collapsed="false">
      <c r="A89" s="83" t="n">
        <v>46111</v>
      </c>
    </row>
    <row r="90" customFormat="false" ht="15" hidden="false" customHeight="true" outlineLevel="0" collapsed="false">
      <c r="A90" s="83" t="n">
        <v>46112</v>
      </c>
    </row>
    <row r="91" customFormat="false" ht="15" hidden="false" customHeight="true" outlineLevel="0" collapsed="false">
      <c r="A91" s="83" t="n">
        <v>46113</v>
      </c>
    </row>
    <row r="92" customFormat="false" ht="15" hidden="false" customHeight="true" outlineLevel="0" collapsed="false">
      <c r="A92" s="83" t="n">
        <v>46114</v>
      </c>
    </row>
    <row r="93" customFormat="false" ht="15" hidden="false" customHeight="true" outlineLevel="0" collapsed="false">
      <c r="A93" s="83" t="n">
        <v>46115</v>
      </c>
    </row>
    <row r="94" customFormat="false" ht="15" hidden="false" customHeight="true" outlineLevel="0" collapsed="false">
      <c r="A94" s="83" t="n">
        <v>46116</v>
      </c>
    </row>
    <row r="95" customFormat="false" ht="15" hidden="false" customHeight="true" outlineLevel="0" collapsed="false">
      <c r="A95" s="83" t="n">
        <v>46117</v>
      </c>
    </row>
    <row r="96" customFormat="false" ht="15" hidden="false" customHeight="true" outlineLevel="0" collapsed="false">
      <c r="A96" s="83" t="n">
        <v>46118</v>
      </c>
    </row>
    <row r="97" customFormat="false" ht="15" hidden="false" customHeight="true" outlineLevel="0" collapsed="false">
      <c r="A97" s="83" t="n">
        <v>46119</v>
      </c>
    </row>
    <row r="98" customFormat="false" ht="15" hidden="false" customHeight="true" outlineLevel="0" collapsed="false">
      <c r="A98" s="83" t="n">
        <v>46120</v>
      </c>
    </row>
    <row r="99" customFormat="false" ht="15" hidden="false" customHeight="true" outlineLevel="0" collapsed="false">
      <c r="A99" s="83" t="n">
        <v>46121</v>
      </c>
    </row>
    <row r="100" customFormat="false" ht="15" hidden="false" customHeight="true" outlineLevel="0" collapsed="false">
      <c r="A100" s="83" t="n">
        <v>46122</v>
      </c>
    </row>
    <row r="101" customFormat="false" ht="15" hidden="false" customHeight="true" outlineLevel="0" collapsed="false">
      <c r="A101" s="83" t="n">
        <v>46123</v>
      </c>
    </row>
    <row r="102" customFormat="false" ht="15" hidden="false" customHeight="true" outlineLevel="0" collapsed="false">
      <c r="A102" s="83" t="n">
        <v>46124</v>
      </c>
    </row>
    <row r="103" customFormat="false" ht="15" hidden="false" customHeight="true" outlineLevel="0" collapsed="false">
      <c r="A103" s="83" t="n">
        <v>46125</v>
      </c>
    </row>
    <row r="104" customFormat="false" ht="15" hidden="false" customHeight="true" outlineLevel="0" collapsed="false">
      <c r="A104" s="83" t="n">
        <v>46126</v>
      </c>
    </row>
    <row r="105" customFormat="false" ht="15" hidden="false" customHeight="true" outlineLevel="0" collapsed="false">
      <c r="A105" s="83" t="n">
        <v>46127</v>
      </c>
    </row>
    <row r="106" customFormat="false" ht="15" hidden="false" customHeight="true" outlineLevel="0" collapsed="false">
      <c r="A106" s="83" t="n">
        <v>46128</v>
      </c>
    </row>
    <row r="107" customFormat="false" ht="15" hidden="false" customHeight="true" outlineLevel="0" collapsed="false">
      <c r="A107" s="83" t="n">
        <v>46129</v>
      </c>
    </row>
    <row r="108" customFormat="false" ht="15" hidden="false" customHeight="true" outlineLevel="0" collapsed="false">
      <c r="A108" s="83" t="n">
        <v>46130</v>
      </c>
    </row>
    <row r="109" customFormat="false" ht="15" hidden="false" customHeight="true" outlineLevel="0" collapsed="false">
      <c r="A109" s="83" t="n">
        <v>46131</v>
      </c>
    </row>
    <row r="110" customFormat="false" ht="15" hidden="false" customHeight="true" outlineLevel="0" collapsed="false">
      <c r="A110" s="83" t="n">
        <v>46132</v>
      </c>
    </row>
    <row r="111" customFormat="false" ht="15" hidden="false" customHeight="true" outlineLevel="0" collapsed="false">
      <c r="A111" s="83" t="n">
        <v>46133</v>
      </c>
    </row>
    <row r="112" customFormat="false" ht="15" hidden="false" customHeight="true" outlineLevel="0" collapsed="false">
      <c r="A112" s="83" t="n">
        <v>46134</v>
      </c>
    </row>
    <row r="113" customFormat="false" ht="15" hidden="false" customHeight="true" outlineLevel="0" collapsed="false">
      <c r="A113" s="83" t="n">
        <v>46135</v>
      </c>
    </row>
    <row r="114" customFormat="false" ht="15" hidden="false" customHeight="true" outlineLevel="0" collapsed="false">
      <c r="A114" s="83" t="n">
        <v>46136</v>
      </c>
    </row>
    <row r="115" customFormat="false" ht="15" hidden="false" customHeight="true" outlineLevel="0" collapsed="false">
      <c r="A115" s="83" t="n">
        <v>46137</v>
      </c>
    </row>
    <row r="116" customFormat="false" ht="15" hidden="false" customHeight="true" outlineLevel="0" collapsed="false">
      <c r="A116" s="83" t="n">
        <v>46138</v>
      </c>
    </row>
    <row r="117" customFormat="false" ht="15" hidden="false" customHeight="true" outlineLevel="0" collapsed="false">
      <c r="A117" s="83" t="n">
        <v>46139</v>
      </c>
    </row>
    <row r="118" customFormat="false" ht="15" hidden="false" customHeight="true" outlineLevel="0" collapsed="false">
      <c r="A118" s="83" t="n">
        <v>46140</v>
      </c>
    </row>
    <row r="119" customFormat="false" ht="15" hidden="false" customHeight="true" outlineLevel="0" collapsed="false">
      <c r="A119" s="83" t="n">
        <v>46141</v>
      </c>
    </row>
    <row r="120" customFormat="false" ht="15" hidden="false" customHeight="true" outlineLevel="0" collapsed="false">
      <c r="A120" s="83" t="n">
        <v>46142</v>
      </c>
    </row>
    <row r="121" customFormat="false" ht="15" hidden="false" customHeight="true" outlineLevel="0" collapsed="false">
      <c r="A121" s="83" t="n">
        <v>46143</v>
      </c>
    </row>
    <row r="122" customFormat="false" ht="15" hidden="false" customHeight="true" outlineLevel="0" collapsed="false">
      <c r="A122" s="83" t="n">
        <v>46144</v>
      </c>
    </row>
    <row r="123" customFormat="false" ht="15" hidden="false" customHeight="true" outlineLevel="0" collapsed="false">
      <c r="A123" s="83" t="n">
        <v>46145</v>
      </c>
    </row>
    <row r="124" customFormat="false" ht="15" hidden="false" customHeight="true" outlineLevel="0" collapsed="false">
      <c r="A124" s="83" t="n">
        <v>46146</v>
      </c>
    </row>
    <row r="125" customFormat="false" ht="15" hidden="false" customHeight="true" outlineLevel="0" collapsed="false">
      <c r="A125" s="83" t="n">
        <v>46147</v>
      </c>
    </row>
    <row r="126" customFormat="false" ht="15" hidden="false" customHeight="true" outlineLevel="0" collapsed="false">
      <c r="A126" s="83" t="n">
        <v>46148</v>
      </c>
    </row>
    <row r="127" customFormat="false" ht="15" hidden="false" customHeight="true" outlineLevel="0" collapsed="false">
      <c r="A127" s="83" t="n">
        <v>46149</v>
      </c>
    </row>
    <row r="128" customFormat="false" ht="15" hidden="false" customHeight="true" outlineLevel="0" collapsed="false">
      <c r="A128" s="83" t="n">
        <v>46150</v>
      </c>
    </row>
    <row r="129" customFormat="false" ht="15" hidden="false" customHeight="true" outlineLevel="0" collapsed="false">
      <c r="A129" s="83" t="n">
        <v>46151</v>
      </c>
    </row>
    <row r="130" customFormat="false" ht="15" hidden="false" customHeight="true" outlineLevel="0" collapsed="false">
      <c r="A130" s="83" t="n">
        <v>46152</v>
      </c>
    </row>
    <row r="131" customFormat="false" ht="15" hidden="false" customHeight="true" outlineLevel="0" collapsed="false">
      <c r="A131" s="83" t="n">
        <v>46153</v>
      </c>
    </row>
    <row r="132" customFormat="false" ht="15" hidden="false" customHeight="true" outlineLevel="0" collapsed="false">
      <c r="A132" s="83" t="n">
        <v>46154</v>
      </c>
    </row>
    <row r="133" customFormat="false" ht="15" hidden="false" customHeight="true" outlineLevel="0" collapsed="false">
      <c r="A133" s="83" t="n">
        <v>46155</v>
      </c>
    </row>
    <row r="134" customFormat="false" ht="15" hidden="false" customHeight="true" outlineLevel="0" collapsed="false">
      <c r="A134" s="83" t="n">
        <v>46156</v>
      </c>
    </row>
    <row r="135" customFormat="false" ht="15" hidden="false" customHeight="true" outlineLevel="0" collapsed="false">
      <c r="A135" s="83" t="n">
        <v>46157</v>
      </c>
    </row>
    <row r="136" customFormat="false" ht="15" hidden="false" customHeight="true" outlineLevel="0" collapsed="false">
      <c r="A136" s="83" t="n">
        <v>46158</v>
      </c>
    </row>
    <row r="137" customFormat="false" ht="15" hidden="false" customHeight="true" outlineLevel="0" collapsed="false">
      <c r="A137" s="83" t="n">
        <v>46159</v>
      </c>
    </row>
    <row r="138" customFormat="false" ht="15" hidden="false" customHeight="true" outlineLevel="0" collapsed="false">
      <c r="A138" s="83" t="n">
        <v>46160</v>
      </c>
    </row>
    <row r="139" customFormat="false" ht="15" hidden="false" customHeight="true" outlineLevel="0" collapsed="false">
      <c r="A139" s="83" t="n">
        <v>46161</v>
      </c>
    </row>
    <row r="140" customFormat="false" ht="15" hidden="false" customHeight="true" outlineLevel="0" collapsed="false">
      <c r="A140" s="83" t="n">
        <v>46162</v>
      </c>
    </row>
    <row r="141" customFormat="false" ht="15" hidden="false" customHeight="true" outlineLevel="0" collapsed="false">
      <c r="A141" s="83" t="n">
        <v>46163</v>
      </c>
    </row>
    <row r="142" customFormat="false" ht="15" hidden="false" customHeight="true" outlineLevel="0" collapsed="false">
      <c r="A142" s="83" t="n">
        <v>46164</v>
      </c>
    </row>
    <row r="143" customFormat="false" ht="15" hidden="false" customHeight="true" outlineLevel="0" collapsed="false">
      <c r="A143" s="83" t="n">
        <v>46165</v>
      </c>
    </row>
    <row r="144" customFormat="false" ht="15" hidden="false" customHeight="true" outlineLevel="0" collapsed="false">
      <c r="A144" s="83" t="n">
        <v>46166</v>
      </c>
    </row>
    <row r="145" customFormat="false" ht="15" hidden="false" customHeight="true" outlineLevel="0" collapsed="false">
      <c r="A145" s="83" t="n">
        <v>46167</v>
      </c>
    </row>
    <row r="146" customFormat="false" ht="15" hidden="false" customHeight="true" outlineLevel="0" collapsed="false">
      <c r="A146" s="83" t="n">
        <v>46168</v>
      </c>
    </row>
    <row r="147" customFormat="false" ht="15" hidden="false" customHeight="true" outlineLevel="0" collapsed="false">
      <c r="A147" s="83" t="n">
        <v>46169</v>
      </c>
    </row>
    <row r="148" customFormat="false" ht="15" hidden="false" customHeight="true" outlineLevel="0" collapsed="false">
      <c r="A148" s="83" t="n">
        <v>46170</v>
      </c>
    </row>
    <row r="149" customFormat="false" ht="15" hidden="false" customHeight="true" outlineLevel="0" collapsed="false">
      <c r="A149" s="83" t="n">
        <v>46171</v>
      </c>
    </row>
    <row r="150" customFormat="false" ht="15" hidden="false" customHeight="true" outlineLevel="0" collapsed="false">
      <c r="A150" s="83" t="n">
        <v>46172</v>
      </c>
    </row>
    <row r="151" customFormat="false" ht="15" hidden="false" customHeight="true" outlineLevel="0" collapsed="false">
      <c r="A151" s="83" t="n">
        <v>46173</v>
      </c>
    </row>
    <row r="152" customFormat="false" ht="15" hidden="false" customHeight="true" outlineLevel="0" collapsed="false">
      <c r="A152" s="83" t="n">
        <v>46174</v>
      </c>
    </row>
    <row r="153" customFormat="false" ht="15" hidden="false" customHeight="true" outlineLevel="0" collapsed="false">
      <c r="A153" s="83" t="n">
        <v>46175</v>
      </c>
    </row>
    <row r="154" customFormat="false" ht="15" hidden="false" customHeight="true" outlineLevel="0" collapsed="false">
      <c r="A154" s="83" t="n">
        <v>46176</v>
      </c>
    </row>
    <row r="155" customFormat="false" ht="15" hidden="false" customHeight="true" outlineLevel="0" collapsed="false">
      <c r="A155" s="83" t="n">
        <v>46177</v>
      </c>
    </row>
    <row r="156" customFormat="false" ht="15" hidden="false" customHeight="true" outlineLevel="0" collapsed="false">
      <c r="A156" s="83" t="n">
        <v>46178</v>
      </c>
    </row>
    <row r="157" customFormat="false" ht="15" hidden="false" customHeight="true" outlineLevel="0" collapsed="false">
      <c r="A157" s="83" t="n">
        <v>46179</v>
      </c>
    </row>
    <row r="158" customFormat="false" ht="15" hidden="false" customHeight="true" outlineLevel="0" collapsed="false">
      <c r="A158" s="83" t="n">
        <v>46180</v>
      </c>
    </row>
    <row r="159" customFormat="false" ht="15" hidden="false" customHeight="true" outlineLevel="0" collapsed="false">
      <c r="A159" s="83" t="n">
        <v>46181</v>
      </c>
    </row>
    <row r="160" customFormat="false" ht="15" hidden="false" customHeight="true" outlineLevel="0" collapsed="false">
      <c r="A160" s="83" t="n">
        <v>46182</v>
      </c>
    </row>
    <row r="161" customFormat="false" ht="15" hidden="false" customHeight="true" outlineLevel="0" collapsed="false">
      <c r="A161" s="83" t="n">
        <v>46183</v>
      </c>
    </row>
    <row r="162" customFormat="false" ht="15" hidden="false" customHeight="true" outlineLevel="0" collapsed="false">
      <c r="A162" s="83" t="n">
        <v>46184</v>
      </c>
    </row>
    <row r="163" customFormat="false" ht="15" hidden="false" customHeight="true" outlineLevel="0" collapsed="false">
      <c r="A163" s="83" t="n">
        <v>46185</v>
      </c>
    </row>
    <row r="164" customFormat="false" ht="15" hidden="false" customHeight="true" outlineLevel="0" collapsed="false">
      <c r="A164" s="83" t="n">
        <v>46186</v>
      </c>
    </row>
    <row r="165" customFormat="false" ht="15" hidden="false" customHeight="true" outlineLevel="0" collapsed="false">
      <c r="A165" s="83" t="n">
        <v>46187</v>
      </c>
    </row>
    <row r="166" customFormat="false" ht="15" hidden="false" customHeight="true" outlineLevel="0" collapsed="false">
      <c r="A166" s="83" t="n">
        <v>46188</v>
      </c>
    </row>
    <row r="167" customFormat="false" ht="15" hidden="false" customHeight="true" outlineLevel="0" collapsed="false">
      <c r="A167" s="83" t="n">
        <v>46189</v>
      </c>
    </row>
    <row r="168" customFormat="false" ht="15" hidden="false" customHeight="true" outlineLevel="0" collapsed="false">
      <c r="A168" s="83" t="n">
        <v>46190</v>
      </c>
    </row>
    <row r="169" customFormat="false" ht="15" hidden="false" customHeight="true" outlineLevel="0" collapsed="false">
      <c r="A169" s="83" t="n">
        <v>46191</v>
      </c>
    </row>
    <row r="170" customFormat="false" ht="15" hidden="false" customHeight="true" outlineLevel="0" collapsed="false">
      <c r="A170" s="83" t="n">
        <v>46192</v>
      </c>
    </row>
    <row r="171" customFormat="false" ht="15" hidden="false" customHeight="true" outlineLevel="0" collapsed="false">
      <c r="A171" s="83" t="n">
        <v>46193</v>
      </c>
    </row>
    <row r="172" customFormat="false" ht="15" hidden="false" customHeight="true" outlineLevel="0" collapsed="false">
      <c r="A172" s="83" t="n">
        <v>46194</v>
      </c>
    </row>
    <row r="173" customFormat="false" ht="15" hidden="false" customHeight="true" outlineLevel="0" collapsed="false">
      <c r="A173" s="83" t="n">
        <v>46195</v>
      </c>
    </row>
    <row r="174" customFormat="false" ht="15" hidden="false" customHeight="true" outlineLevel="0" collapsed="false">
      <c r="A174" s="83" t="n">
        <v>46196</v>
      </c>
    </row>
    <row r="175" customFormat="false" ht="15" hidden="false" customHeight="true" outlineLevel="0" collapsed="false">
      <c r="A175" s="83" t="n">
        <v>46197</v>
      </c>
    </row>
    <row r="176" customFormat="false" ht="15" hidden="false" customHeight="true" outlineLevel="0" collapsed="false">
      <c r="A176" s="83" t="n">
        <v>46198</v>
      </c>
    </row>
    <row r="177" customFormat="false" ht="15" hidden="false" customHeight="true" outlineLevel="0" collapsed="false">
      <c r="A177" s="83" t="n">
        <v>46199</v>
      </c>
    </row>
    <row r="178" customFormat="false" ht="15" hidden="false" customHeight="true" outlineLevel="0" collapsed="false">
      <c r="A178" s="83" t="n">
        <v>46200</v>
      </c>
    </row>
    <row r="179" customFormat="false" ht="15" hidden="false" customHeight="true" outlineLevel="0" collapsed="false">
      <c r="A179" s="83" t="n">
        <v>46201</v>
      </c>
    </row>
    <row r="180" customFormat="false" ht="15" hidden="false" customHeight="true" outlineLevel="0" collapsed="false">
      <c r="A180" s="83" t="n">
        <v>46202</v>
      </c>
    </row>
    <row r="181" customFormat="false" ht="15" hidden="false" customHeight="true" outlineLevel="0" collapsed="false">
      <c r="A181" s="83" t="n">
        <v>46203</v>
      </c>
    </row>
    <row r="182" customFormat="false" ht="15" hidden="false" customHeight="true" outlineLevel="0" collapsed="false">
      <c r="A182" s="83" t="n">
        <v>46204</v>
      </c>
    </row>
    <row r="183" customFormat="false" ht="15" hidden="false" customHeight="true" outlineLevel="0" collapsed="false">
      <c r="A183" s="83" t="n">
        <v>46205</v>
      </c>
    </row>
    <row r="184" customFormat="false" ht="15" hidden="false" customHeight="true" outlineLevel="0" collapsed="false">
      <c r="A184" s="83" t="n">
        <v>46206</v>
      </c>
    </row>
    <row r="185" customFormat="false" ht="15" hidden="false" customHeight="true" outlineLevel="0" collapsed="false">
      <c r="A185" s="83" t="n">
        <v>46207</v>
      </c>
    </row>
    <row r="186" customFormat="false" ht="15" hidden="false" customHeight="true" outlineLevel="0" collapsed="false">
      <c r="A186" s="83" t="n">
        <v>46208</v>
      </c>
    </row>
    <row r="187" customFormat="false" ht="15" hidden="false" customHeight="true" outlineLevel="0" collapsed="false">
      <c r="A187" s="83" t="n">
        <v>46209</v>
      </c>
    </row>
    <row r="188" customFormat="false" ht="15" hidden="false" customHeight="true" outlineLevel="0" collapsed="false">
      <c r="A188" s="83" t="n">
        <v>46210</v>
      </c>
    </row>
    <row r="189" customFormat="false" ht="15" hidden="false" customHeight="true" outlineLevel="0" collapsed="false">
      <c r="A189" s="83" t="n">
        <v>46211</v>
      </c>
    </row>
    <row r="190" customFormat="false" ht="15" hidden="false" customHeight="true" outlineLevel="0" collapsed="false">
      <c r="A190" s="83" t="n">
        <v>46212</v>
      </c>
    </row>
    <row r="191" customFormat="false" ht="15" hidden="false" customHeight="true" outlineLevel="0" collapsed="false">
      <c r="A191" s="83" t="n">
        <v>46213</v>
      </c>
    </row>
    <row r="192" customFormat="false" ht="15" hidden="false" customHeight="true" outlineLevel="0" collapsed="false">
      <c r="A192" s="83" t="n">
        <v>46214</v>
      </c>
    </row>
    <row r="193" customFormat="false" ht="15" hidden="false" customHeight="true" outlineLevel="0" collapsed="false">
      <c r="A193" s="83" t="n">
        <v>46215</v>
      </c>
    </row>
    <row r="194" customFormat="false" ht="15" hidden="false" customHeight="true" outlineLevel="0" collapsed="false">
      <c r="A194" s="83" t="n">
        <v>46216</v>
      </c>
    </row>
    <row r="195" customFormat="false" ht="15" hidden="false" customHeight="true" outlineLevel="0" collapsed="false">
      <c r="A195" s="83" t="n">
        <v>46217</v>
      </c>
    </row>
    <row r="196" customFormat="false" ht="15" hidden="false" customHeight="true" outlineLevel="0" collapsed="false">
      <c r="A196" s="83" t="n">
        <v>46218</v>
      </c>
    </row>
    <row r="197" customFormat="false" ht="15" hidden="false" customHeight="true" outlineLevel="0" collapsed="false">
      <c r="A197" s="83" t="n">
        <v>46219</v>
      </c>
    </row>
    <row r="198" customFormat="false" ht="15" hidden="false" customHeight="true" outlineLevel="0" collapsed="false">
      <c r="A198" s="83" t="n">
        <v>46220</v>
      </c>
    </row>
    <row r="199" customFormat="false" ht="15" hidden="false" customHeight="true" outlineLevel="0" collapsed="false">
      <c r="A199" s="83" t="n">
        <v>46221</v>
      </c>
    </row>
    <row r="200" customFormat="false" ht="15" hidden="false" customHeight="true" outlineLevel="0" collapsed="false">
      <c r="A200" s="83" t="n">
        <v>46222</v>
      </c>
    </row>
    <row r="201" customFormat="false" ht="15" hidden="false" customHeight="true" outlineLevel="0" collapsed="false">
      <c r="A201" s="83" t="n">
        <v>46223</v>
      </c>
    </row>
    <row r="202" customFormat="false" ht="15" hidden="false" customHeight="true" outlineLevel="0" collapsed="false">
      <c r="A202" s="83" t="n">
        <v>46224</v>
      </c>
    </row>
    <row r="203" customFormat="false" ht="15" hidden="false" customHeight="true" outlineLevel="0" collapsed="false">
      <c r="A203" s="83" t="n">
        <v>46225</v>
      </c>
    </row>
    <row r="204" customFormat="false" ht="15" hidden="false" customHeight="true" outlineLevel="0" collapsed="false">
      <c r="A204" s="83" t="n">
        <v>46226</v>
      </c>
    </row>
    <row r="205" customFormat="false" ht="15" hidden="false" customHeight="true" outlineLevel="0" collapsed="false">
      <c r="A205" s="83" t="n">
        <v>46227</v>
      </c>
    </row>
    <row r="206" customFormat="false" ht="15" hidden="false" customHeight="true" outlineLevel="0" collapsed="false">
      <c r="A206" s="83" t="n">
        <v>46228</v>
      </c>
    </row>
    <row r="207" customFormat="false" ht="15" hidden="false" customHeight="true" outlineLevel="0" collapsed="false">
      <c r="A207" s="83" t="n">
        <v>46229</v>
      </c>
    </row>
    <row r="208" customFormat="false" ht="15" hidden="false" customHeight="true" outlineLevel="0" collapsed="false">
      <c r="A208" s="83" t="n">
        <v>46230</v>
      </c>
    </row>
    <row r="209" customFormat="false" ht="15" hidden="false" customHeight="true" outlineLevel="0" collapsed="false">
      <c r="A209" s="83" t="n">
        <v>46231</v>
      </c>
    </row>
    <row r="210" customFormat="false" ht="15" hidden="false" customHeight="true" outlineLevel="0" collapsed="false">
      <c r="A210" s="83" t="n">
        <v>46232</v>
      </c>
    </row>
    <row r="211" customFormat="false" ht="15" hidden="false" customHeight="true" outlineLevel="0" collapsed="false">
      <c r="A211" s="83" t="n">
        <v>46233</v>
      </c>
    </row>
    <row r="212" customFormat="false" ht="15" hidden="false" customHeight="true" outlineLevel="0" collapsed="false">
      <c r="A212" s="83" t="n">
        <v>46234</v>
      </c>
    </row>
    <row r="213" customFormat="false" ht="15" hidden="false" customHeight="true" outlineLevel="0" collapsed="false">
      <c r="A213" s="83" t="n">
        <v>46235</v>
      </c>
    </row>
    <row r="214" customFormat="false" ht="15" hidden="false" customHeight="true" outlineLevel="0" collapsed="false">
      <c r="A214" s="83" t="n">
        <v>46236</v>
      </c>
    </row>
    <row r="215" customFormat="false" ht="15" hidden="false" customHeight="true" outlineLevel="0" collapsed="false">
      <c r="A215" s="83" t="n">
        <v>46237</v>
      </c>
    </row>
    <row r="216" customFormat="false" ht="15" hidden="false" customHeight="true" outlineLevel="0" collapsed="false">
      <c r="A216" s="83" t="n">
        <v>46238</v>
      </c>
    </row>
    <row r="217" customFormat="false" ht="15" hidden="false" customHeight="true" outlineLevel="0" collapsed="false">
      <c r="A217" s="83" t="n">
        <v>46239</v>
      </c>
    </row>
    <row r="218" customFormat="false" ht="15" hidden="false" customHeight="true" outlineLevel="0" collapsed="false">
      <c r="A218" s="83" t="n">
        <v>46240</v>
      </c>
    </row>
    <row r="219" customFormat="false" ht="15" hidden="false" customHeight="true" outlineLevel="0" collapsed="false">
      <c r="A219" s="83" t="n">
        <v>46241</v>
      </c>
    </row>
    <row r="220" customFormat="false" ht="15" hidden="false" customHeight="true" outlineLevel="0" collapsed="false">
      <c r="A220" s="83" t="n">
        <v>46242</v>
      </c>
    </row>
    <row r="221" customFormat="false" ht="15" hidden="false" customHeight="true" outlineLevel="0" collapsed="false">
      <c r="A221" s="83" t="n">
        <v>46243</v>
      </c>
    </row>
    <row r="222" customFormat="false" ht="15" hidden="false" customHeight="true" outlineLevel="0" collapsed="false">
      <c r="A222" s="83" t="n">
        <v>46244</v>
      </c>
    </row>
    <row r="223" customFormat="false" ht="15" hidden="false" customHeight="true" outlineLevel="0" collapsed="false">
      <c r="A223" s="83" t="n">
        <v>46245</v>
      </c>
    </row>
    <row r="224" customFormat="false" ht="15" hidden="false" customHeight="true" outlineLevel="0" collapsed="false">
      <c r="A224" s="83" t="n">
        <v>46246</v>
      </c>
    </row>
    <row r="225" customFormat="false" ht="15" hidden="false" customHeight="true" outlineLevel="0" collapsed="false">
      <c r="A225" s="83" t="n">
        <v>46247</v>
      </c>
    </row>
    <row r="226" customFormat="false" ht="15" hidden="false" customHeight="true" outlineLevel="0" collapsed="false">
      <c r="A226" s="83" t="n">
        <v>46248</v>
      </c>
    </row>
    <row r="227" customFormat="false" ht="15" hidden="false" customHeight="true" outlineLevel="0" collapsed="false">
      <c r="A227" s="83" t="n">
        <v>46249</v>
      </c>
    </row>
    <row r="228" customFormat="false" ht="15" hidden="false" customHeight="true" outlineLevel="0" collapsed="false">
      <c r="A228" s="83" t="n">
        <v>46250</v>
      </c>
    </row>
    <row r="229" customFormat="false" ht="15" hidden="false" customHeight="true" outlineLevel="0" collapsed="false">
      <c r="A229" s="83" t="n">
        <v>46251</v>
      </c>
    </row>
    <row r="230" customFormat="false" ht="15" hidden="false" customHeight="true" outlineLevel="0" collapsed="false">
      <c r="A230" s="83" t="n">
        <v>46252</v>
      </c>
    </row>
    <row r="231" customFormat="false" ht="15" hidden="false" customHeight="true" outlineLevel="0" collapsed="false">
      <c r="A231" s="83" t="n">
        <v>46253</v>
      </c>
    </row>
    <row r="232" customFormat="false" ht="15" hidden="false" customHeight="true" outlineLevel="0" collapsed="false">
      <c r="A232" s="83" t="n">
        <v>46254</v>
      </c>
    </row>
    <row r="233" customFormat="false" ht="15" hidden="false" customHeight="true" outlineLevel="0" collapsed="false">
      <c r="A233" s="83" t="n">
        <v>46255</v>
      </c>
    </row>
    <row r="234" customFormat="false" ht="15" hidden="false" customHeight="true" outlineLevel="0" collapsed="false">
      <c r="A234" s="83" t="n">
        <v>46256</v>
      </c>
    </row>
    <row r="235" customFormat="false" ht="15" hidden="false" customHeight="true" outlineLevel="0" collapsed="false">
      <c r="A235" s="83" t="n">
        <v>46257</v>
      </c>
    </row>
    <row r="236" customFormat="false" ht="15" hidden="false" customHeight="true" outlineLevel="0" collapsed="false">
      <c r="A236" s="83" t="n">
        <v>46258</v>
      </c>
    </row>
    <row r="237" customFormat="false" ht="15" hidden="false" customHeight="true" outlineLevel="0" collapsed="false">
      <c r="A237" s="83" t="n">
        <v>46259</v>
      </c>
    </row>
    <row r="238" customFormat="false" ht="15" hidden="false" customHeight="true" outlineLevel="0" collapsed="false">
      <c r="A238" s="83" t="n">
        <v>46260</v>
      </c>
    </row>
    <row r="239" customFormat="false" ht="15" hidden="false" customHeight="true" outlineLevel="0" collapsed="false">
      <c r="A239" s="83" t="n">
        <v>46261</v>
      </c>
    </row>
    <row r="240" customFormat="false" ht="15" hidden="false" customHeight="true" outlineLevel="0" collapsed="false">
      <c r="A240" s="83" t="n">
        <v>46262</v>
      </c>
    </row>
    <row r="241" customFormat="false" ht="15" hidden="false" customHeight="true" outlineLevel="0" collapsed="false">
      <c r="A241" s="83" t="n">
        <v>46263</v>
      </c>
    </row>
    <row r="242" customFormat="false" ht="15" hidden="false" customHeight="true" outlineLevel="0" collapsed="false">
      <c r="A242" s="83" t="n">
        <v>46264</v>
      </c>
    </row>
    <row r="243" customFormat="false" ht="15" hidden="false" customHeight="true" outlineLevel="0" collapsed="false">
      <c r="A243" s="83" t="n">
        <v>46265</v>
      </c>
    </row>
    <row r="244" customFormat="false" ht="15" hidden="false" customHeight="true" outlineLevel="0" collapsed="false">
      <c r="A244" s="83" t="n">
        <v>46266</v>
      </c>
    </row>
    <row r="245" customFormat="false" ht="15" hidden="false" customHeight="true" outlineLevel="0" collapsed="false">
      <c r="A245" s="83" t="n">
        <v>46267</v>
      </c>
    </row>
    <row r="246" customFormat="false" ht="15" hidden="false" customHeight="true" outlineLevel="0" collapsed="false">
      <c r="A246" s="83" t="n">
        <v>46268</v>
      </c>
    </row>
    <row r="247" customFormat="false" ht="15" hidden="false" customHeight="true" outlineLevel="0" collapsed="false">
      <c r="A247" s="83" t="n">
        <v>46269</v>
      </c>
    </row>
    <row r="248" customFormat="false" ht="15" hidden="false" customHeight="true" outlineLevel="0" collapsed="false">
      <c r="A248" s="83" t="n">
        <v>46270</v>
      </c>
    </row>
    <row r="249" customFormat="false" ht="15" hidden="false" customHeight="true" outlineLevel="0" collapsed="false">
      <c r="A249" s="83" t="n">
        <v>46271</v>
      </c>
    </row>
    <row r="250" customFormat="false" ht="15" hidden="false" customHeight="true" outlineLevel="0" collapsed="false">
      <c r="A250" s="83" t="n">
        <v>46272</v>
      </c>
    </row>
    <row r="251" customFormat="false" ht="15" hidden="false" customHeight="true" outlineLevel="0" collapsed="false">
      <c r="A251" s="83" t="n">
        <v>46273</v>
      </c>
    </row>
    <row r="252" customFormat="false" ht="15" hidden="false" customHeight="true" outlineLevel="0" collapsed="false">
      <c r="A252" s="83" t="n">
        <v>46274</v>
      </c>
    </row>
    <row r="253" customFormat="false" ht="15" hidden="false" customHeight="true" outlineLevel="0" collapsed="false">
      <c r="A253" s="83" t="n">
        <v>46275</v>
      </c>
    </row>
    <row r="254" customFormat="false" ht="15" hidden="false" customHeight="true" outlineLevel="0" collapsed="false">
      <c r="A254" s="83" t="n">
        <v>46276</v>
      </c>
    </row>
    <row r="255" customFormat="false" ht="15" hidden="false" customHeight="true" outlineLevel="0" collapsed="false">
      <c r="A255" s="83" t="n">
        <v>46277</v>
      </c>
    </row>
    <row r="256" customFormat="false" ht="15" hidden="false" customHeight="true" outlineLevel="0" collapsed="false">
      <c r="A256" s="83" t="n">
        <v>46278</v>
      </c>
    </row>
    <row r="257" customFormat="false" ht="15" hidden="false" customHeight="true" outlineLevel="0" collapsed="false">
      <c r="A257" s="83" t="n">
        <v>46279</v>
      </c>
    </row>
    <row r="258" customFormat="false" ht="15" hidden="false" customHeight="true" outlineLevel="0" collapsed="false">
      <c r="A258" s="83" t="n">
        <v>46280</v>
      </c>
    </row>
    <row r="259" customFormat="false" ht="15" hidden="false" customHeight="true" outlineLevel="0" collapsed="false">
      <c r="A259" s="83" t="n">
        <v>46281</v>
      </c>
    </row>
    <row r="260" customFormat="false" ht="15" hidden="false" customHeight="true" outlineLevel="0" collapsed="false">
      <c r="A260" s="83" t="n">
        <v>46282</v>
      </c>
    </row>
    <row r="261" customFormat="false" ht="15" hidden="false" customHeight="true" outlineLevel="0" collapsed="false">
      <c r="A261" s="83" t="n">
        <v>46283</v>
      </c>
    </row>
    <row r="262" customFormat="false" ht="15" hidden="false" customHeight="true" outlineLevel="0" collapsed="false">
      <c r="A262" s="83" t="n">
        <v>46284</v>
      </c>
    </row>
    <row r="263" customFormat="false" ht="15" hidden="false" customHeight="true" outlineLevel="0" collapsed="false">
      <c r="A263" s="83" t="n">
        <v>46285</v>
      </c>
    </row>
    <row r="264" customFormat="false" ht="15" hidden="false" customHeight="true" outlineLevel="0" collapsed="false">
      <c r="A264" s="83" t="n">
        <v>46286</v>
      </c>
    </row>
    <row r="265" customFormat="false" ht="15" hidden="false" customHeight="true" outlineLevel="0" collapsed="false">
      <c r="A265" s="83" t="n">
        <v>46287</v>
      </c>
    </row>
    <row r="266" customFormat="false" ht="15" hidden="false" customHeight="true" outlineLevel="0" collapsed="false">
      <c r="A266" s="83" t="n">
        <v>46288</v>
      </c>
    </row>
    <row r="267" customFormat="false" ht="15" hidden="false" customHeight="true" outlineLevel="0" collapsed="false">
      <c r="A267" s="83" t="n">
        <v>46289</v>
      </c>
    </row>
    <row r="268" customFormat="false" ht="15" hidden="false" customHeight="true" outlineLevel="0" collapsed="false">
      <c r="A268" s="83" t="n">
        <v>46290</v>
      </c>
    </row>
    <row r="269" customFormat="false" ht="15" hidden="false" customHeight="true" outlineLevel="0" collapsed="false">
      <c r="A269" s="83" t="n">
        <v>46291</v>
      </c>
    </row>
    <row r="270" customFormat="false" ht="15" hidden="false" customHeight="true" outlineLevel="0" collapsed="false">
      <c r="A270" s="83" t="n">
        <v>46292</v>
      </c>
    </row>
    <row r="271" customFormat="false" ht="15" hidden="false" customHeight="true" outlineLevel="0" collapsed="false">
      <c r="A271" s="83" t="n">
        <v>46293</v>
      </c>
    </row>
    <row r="272" customFormat="false" ht="15" hidden="false" customHeight="true" outlineLevel="0" collapsed="false">
      <c r="A272" s="83" t="n">
        <v>46294</v>
      </c>
    </row>
    <row r="273" customFormat="false" ht="15" hidden="false" customHeight="true" outlineLevel="0" collapsed="false">
      <c r="A273" s="83" t="n">
        <v>46295</v>
      </c>
    </row>
    <row r="274" customFormat="false" ht="15" hidden="false" customHeight="true" outlineLevel="0" collapsed="false">
      <c r="A274" s="83" t="n">
        <v>46296</v>
      </c>
    </row>
    <row r="275" customFormat="false" ht="15" hidden="false" customHeight="true" outlineLevel="0" collapsed="false">
      <c r="A275" s="83" t="n">
        <v>46297</v>
      </c>
    </row>
    <row r="276" customFormat="false" ht="15" hidden="false" customHeight="true" outlineLevel="0" collapsed="false">
      <c r="A276" s="83" t="n">
        <v>46298</v>
      </c>
    </row>
    <row r="277" customFormat="false" ht="15" hidden="false" customHeight="true" outlineLevel="0" collapsed="false">
      <c r="A277" s="83" t="n">
        <v>46299</v>
      </c>
    </row>
    <row r="278" customFormat="false" ht="15" hidden="false" customHeight="true" outlineLevel="0" collapsed="false">
      <c r="A278" s="83" t="n">
        <v>46300</v>
      </c>
    </row>
    <row r="279" customFormat="false" ht="15" hidden="false" customHeight="true" outlineLevel="0" collapsed="false">
      <c r="A279" s="83" t="n">
        <v>46301</v>
      </c>
    </row>
    <row r="280" customFormat="false" ht="15" hidden="false" customHeight="true" outlineLevel="0" collapsed="false">
      <c r="A280" s="83" t="n">
        <v>46302</v>
      </c>
    </row>
    <row r="281" customFormat="false" ht="15" hidden="false" customHeight="true" outlineLevel="0" collapsed="false">
      <c r="A281" s="83" t="n">
        <v>46303</v>
      </c>
    </row>
    <row r="282" customFormat="false" ht="15" hidden="false" customHeight="true" outlineLevel="0" collapsed="false">
      <c r="A282" s="83" t="n">
        <v>46304</v>
      </c>
    </row>
    <row r="283" customFormat="false" ht="15" hidden="false" customHeight="true" outlineLevel="0" collapsed="false">
      <c r="A283" s="83" t="n">
        <v>46305</v>
      </c>
    </row>
    <row r="284" customFormat="false" ht="15" hidden="false" customHeight="true" outlineLevel="0" collapsed="false">
      <c r="A284" s="83" t="n">
        <v>46306</v>
      </c>
    </row>
    <row r="285" customFormat="false" ht="15" hidden="false" customHeight="true" outlineLevel="0" collapsed="false">
      <c r="A285" s="83" t="n">
        <v>46307</v>
      </c>
    </row>
    <row r="286" customFormat="false" ht="15" hidden="false" customHeight="true" outlineLevel="0" collapsed="false">
      <c r="A286" s="83" t="n">
        <v>46308</v>
      </c>
    </row>
    <row r="287" customFormat="false" ht="15" hidden="false" customHeight="true" outlineLevel="0" collapsed="false">
      <c r="A287" s="83" t="n">
        <v>46309</v>
      </c>
    </row>
    <row r="288" customFormat="false" ht="15" hidden="false" customHeight="true" outlineLevel="0" collapsed="false">
      <c r="A288" s="83" t="n">
        <v>46310</v>
      </c>
    </row>
    <row r="289" customFormat="false" ht="15" hidden="false" customHeight="true" outlineLevel="0" collapsed="false">
      <c r="A289" s="83" t="n">
        <v>46311</v>
      </c>
    </row>
    <row r="290" customFormat="false" ht="15" hidden="false" customHeight="true" outlineLevel="0" collapsed="false">
      <c r="A290" s="83" t="n">
        <v>46312</v>
      </c>
    </row>
    <row r="291" customFormat="false" ht="15" hidden="false" customHeight="true" outlineLevel="0" collapsed="false">
      <c r="A291" s="83" t="n">
        <v>46313</v>
      </c>
    </row>
    <row r="292" customFormat="false" ht="15" hidden="false" customHeight="true" outlineLevel="0" collapsed="false">
      <c r="A292" s="83" t="n">
        <v>46314</v>
      </c>
    </row>
    <row r="293" customFormat="false" ht="15" hidden="false" customHeight="true" outlineLevel="0" collapsed="false">
      <c r="A293" s="83" t="n">
        <v>46315</v>
      </c>
    </row>
    <row r="294" customFormat="false" ht="15" hidden="false" customHeight="true" outlineLevel="0" collapsed="false">
      <c r="A294" s="83" t="n">
        <v>46316</v>
      </c>
    </row>
    <row r="295" customFormat="false" ht="15" hidden="false" customHeight="true" outlineLevel="0" collapsed="false">
      <c r="A295" s="83" t="n">
        <v>46317</v>
      </c>
    </row>
    <row r="296" customFormat="false" ht="15" hidden="false" customHeight="true" outlineLevel="0" collapsed="false">
      <c r="A296" s="83" t="n">
        <v>46318</v>
      </c>
    </row>
    <row r="297" customFormat="false" ht="15" hidden="false" customHeight="true" outlineLevel="0" collapsed="false">
      <c r="A297" s="83" t="n">
        <v>46319</v>
      </c>
    </row>
    <row r="298" customFormat="false" ht="15" hidden="false" customHeight="true" outlineLevel="0" collapsed="false">
      <c r="A298" s="83" t="n">
        <v>46320</v>
      </c>
    </row>
    <row r="299" customFormat="false" ht="15" hidden="false" customHeight="true" outlineLevel="0" collapsed="false">
      <c r="A299" s="83" t="n">
        <v>46321</v>
      </c>
    </row>
    <row r="300" customFormat="false" ht="15" hidden="false" customHeight="true" outlineLevel="0" collapsed="false">
      <c r="A300" s="83" t="n">
        <v>46322</v>
      </c>
    </row>
    <row r="301" customFormat="false" ht="15" hidden="false" customHeight="true" outlineLevel="0" collapsed="false">
      <c r="A301" s="83" t="n">
        <v>46323</v>
      </c>
    </row>
    <row r="302" customFormat="false" ht="15" hidden="false" customHeight="true" outlineLevel="0" collapsed="false">
      <c r="A302" s="83" t="n">
        <v>46324</v>
      </c>
    </row>
    <row r="303" customFormat="false" ht="15" hidden="false" customHeight="true" outlineLevel="0" collapsed="false">
      <c r="A303" s="83" t="n">
        <v>46325</v>
      </c>
    </row>
    <row r="304" customFormat="false" ht="15" hidden="false" customHeight="true" outlineLevel="0" collapsed="false">
      <c r="A304" s="83" t="n">
        <v>46326</v>
      </c>
    </row>
    <row r="305" customFormat="false" ht="15" hidden="false" customHeight="true" outlineLevel="0" collapsed="false">
      <c r="A305" s="83" t="n">
        <v>46327</v>
      </c>
    </row>
    <row r="306" customFormat="false" ht="15" hidden="false" customHeight="true" outlineLevel="0" collapsed="false">
      <c r="A306" s="83" t="n">
        <v>46328</v>
      </c>
    </row>
    <row r="307" customFormat="false" ht="15" hidden="false" customHeight="true" outlineLevel="0" collapsed="false">
      <c r="A307" s="83" t="n">
        <v>46329</v>
      </c>
    </row>
    <row r="308" customFormat="false" ht="15" hidden="false" customHeight="true" outlineLevel="0" collapsed="false">
      <c r="A308" s="83" t="n">
        <v>46330</v>
      </c>
    </row>
    <row r="309" customFormat="false" ht="15" hidden="false" customHeight="true" outlineLevel="0" collapsed="false">
      <c r="A309" s="83" t="n">
        <v>46331</v>
      </c>
    </row>
    <row r="310" customFormat="false" ht="15" hidden="false" customHeight="true" outlineLevel="0" collapsed="false">
      <c r="A310" s="83" t="n">
        <v>46332</v>
      </c>
    </row>
    <row r="311" customFormat="false" ht="15" hidden="false" customHeight="true" outlineLevel="0" collapsed="false">
      <c r="A311" s="83" t="n">
        <v>46333</v>
      </c>
    </row>
    <row r="312" customFormat="false" ht="15" hidden="false" customHeight="true" outlineLevel="0" collapsed="false">
      <c r="A312" s="83" t="n">
        <v>46334</v>
      </c>
    </row>
    <row r="313" customFormat="false" ht="15" hidden="false" customHeight="true" outlineLevel="0" collapsed="false">
      <c r="A313" s="83" t="n">
        <v>46335</v>
      </c>
    </row>
    <row r="314" customFormat="false" ht="15" hidden="false" customHeight="true" outlineLevel="0" collapsed="false">
      <c r="A314" s="83" t="n">
        <v>46336</v>
      </c>
    </row>
    <row r="315" customFormat="false" ht="15" hidden="false" customHeight="true" outlineLevel="0" collapsed="false">
      <c r="A315" s="83" t="n">
        <v>46337</v>
      </c>
    </row>
    <row r="316" customFormat="false" ht="15" hidden="false" customHeight="true" outlineLevel="0" collapsed="false">
      <c r="A316" s="83" t="n">
        <v>46338</v>
      </c>
    </row>
    <row r="317" customFormat="false" ht="15" hidden="false" customHeight="true" outlineLevel="0" collapsed="false">
      <c r="A317" s="83" t="n">
        <v>46339</v>
      </c>
    </row>
    <row r="318" customFormat="false" ht="15" hidden="false" customHeight="true" outlineLevel="0" collapsed="false">
      <c r="A318" s="83" t="n">
        <v>46340</v>
      </c>
    </row>
    <row r="319" customFormat="false" ht="15" hidden="false" customHeight="true" outlineLevel="0" collapsed="false">
      <c r="A319" s="83" t="n">
        <v>46341</v>
      </c>
    </row>
    <row r="320" customFormat="false" ht="15" hidden="false" customHeight="true" outlineLevel="0" collapsed="false">
      <c r="A320" s="83" t="n">
        <v>46342</v>
      </c>
    </row>
    <row r="321" customFormat="false" ht="15" hidden="false" customHeight="true" outlineLevel="0" collapsed="false">
      <c r="A321" s="83" t="n">
        <v>46343</v>
      </c>
    </row>
    <row r="322" customFormat="false" ht="15" hidden="false" customHeight="true" outlineLevel="0" collapsed="false">
      <c r="A322" s="83" t="n">
        <v>46344</v>
      </c>
    </row>
    <row r="323" customFormat="false" ht="15" hidden="false" customHeight="true" outlineLevel="0" collapsed="false">
      <c r="A323" s="83" t="n">
        <v>46345</v>
      </c>
    </row>
    <row r="324" customFormat="false" ht="15" hidden="false" customHeight="true" outlineLevel="0" collapsed="false">
      <c r="A324" s="83" t="n">
        <v>46346</v>
      </c>
    </row>
    <row r="325" customFormat="false" ht="15" hidden="false" customHeight="true" outlineLevel="0" collapsed="false">
      <c r="A325" s="83" t="n">
        <v>46347</v>
      </c>
    </row>
    <row r="326" customFormat="false" ht="15" hidden="false" customHeight="true" outlineLevel="0" collapsed="false">
      <c r="A326" s="83" t="n">
        <v>46348</v>
      </c>
    </row>
    <row r="327" customFormat="false" ht="15" hidden="false" customHeight="true" outlineLevel="0" collapsed="false">
      <c r="A327" s="83" t="n">
        <v>46349</v>
      </c>
    </row>
    <row r="328" customFormat="false" ht="15" hidden="false" customHeight="true" outlineLevel="0" collapsed="false">
      <c r="A328" s="83" t="n">
        <v>46350</v>
      </c>
    </row>
    <row r="329" customFormat="false" ht="15" hidden="false" customHeight="true" outlineLevel="0" collapsed="false">
      <c r="A329" s="83" t="n">
        <v>46351</v>
      </c>
    </row>
    <row r="330" customFormat="false" ht="15" hidden="false" customHeight="true" outlineLevel="0" collapsed="false">
      <c r="A330" s="83" t="n">
        <v>46352</v>
      </c>
    </row>
    <row r="331" customFormat="false" ht="15" hidden="false" customHeight="true" outlineLevel="0" collapsed="false">
      <c r="A331" s="83" t="n">
        <v>46353</v>
      </c>
    </row>
    <row r="332" customFormat="false" ht="15" hidden="false" customHeight="true" outlineLevel="0" collapsed="false">
      <c r="A332" s="83" t="n">
        <v>46354</v>
      </c>
    </row>
    <row r="333" customFormat="false" ht="15" hidden="false" customHeight="true" outlineLevel="0" collapsed="false">
      <c r="A333" s="83" t="n">
        <v>46355</v>
      </c>
    </row>
    <row r="334" customFormat="false" ht="15" hidden="false" customHeight="true" outlineLevel="0" collapsed="false">
      <c r="A334" s="83" t="n">
        <v>46356</v>
      </c>
    </row>
    <row r="335" customFormat="false" ht="15" hidden="false" customHeight="true" outlineLevel="0" collapsed="false">
      <c r="A335" s="83" t="n">
        <v>46357</v>
      </c>
    </row>
    <row r="336" customFormat="false" ht="15" hidden="false" customHeight="true" outlineLevel="0" collapsed="false">
      <c r="A336" s="83" t="n">
        <v>46358</v>
      </c>
    </row>
    <row r="337" customFormat="false" ht="15" hidden="false" customHeight="true" outlineLevel="0" collapsed="false">
      <c r="A337" s="83" t="n">
        <v>46359</v>
      </c>
    </row>
    <row r="338" customFormat="false" ht="15" hidden="false" customHeight="true" outlineLevel="0" collapsed="false">
      <c r="A338" s="83" t="n">
        <v>46360</v>
      </c>
    </row>
    <row r="339" customFormat="false" ht="15" hidden="false" customHeight="true" outlineLevel="0" collapsed="false">
      <c r="A339" s="83" t="n">
        <v>46361</v>
      </c>
    </row>
    <row r="340" customFormat="false" ht="15" hidden="false" customHeight="true" outlineLevel="0" collapsed="false">
      <c r="A340" s="83" t="n">
        <v>46362</v>
      </c>
    </row>
    <row r="341" customFormat="false" ht="15" hidden="false" customHeight="true" outlineLevel="0" collapsed="false">
      <c r="A341" s="83" t="n">
        <v>46363</v>
      </c>
    </row>
    <row r="342" customFormat="false" ht="15" hidden="false" customHeight="true" outlineLevel="0" collapsed="false">
      <c r="A342" s="83" t="n">
        <v>46364</v>
      </c>
    </row>
    <row r="343" customFormat="false" ht="15" hidden="false" customHeight="true" outlineLevel="0" collapsed="false">
      <c r="A343" s="83" t="n">
        <v>46365</v>
      </c>
    </row>
    <row r="344" customFormat="false" ht="15" hidden="false" customHeight="true" outlineLevel="0" collapsed="false">
      <c r="A344" s="83" t="n">
        <v>46366</v>
      </c>
    </row>
    <row r="345" customFormat="false" ht="15" hidden="false" customHeight="true" outlineLevel="0" collapsed="false">
      <c r="A345" s="83" t="n">
        <v>46367</v>
      </c>
    </row>
    <row r="346" customFormat="false" ht="15" hidden="false" customHeight="true" outlineLevel="0" collapsed="false">
      <c r="A346" s="83" t="n">
        <v>46368</v>
      </c>
    </row>
    <row r="347" customFormat="false" ht="15" hidden="false" customHeight="true" outlineLevel="0" collapsed="false">
      <c r="A347" s="83" t="n">
        <v>46369</v>
      </c>
    </row>
    <row r="348" customFormat="false" ht="15" hidden="false" customHeight="true" outlineLevel="0" collapsed="false">
      <c r="A348" s="83" t="n">
        <v>46370</v>
      </c>
    </row>
    <row r="349" customFormat="false" ht="15" hidden="false" customHeight="true" outlineLevel="0" collapsed="false">
      <c r="A349" s="83" t="n">
        <v>46371</v>
      </c>
    </row>
    <row r="350" customFormat="false" ht="15" hidden="false" customHeight="true" outlineLevel="0" collapsed="false">
      <c r="A350" s="83" t="n">
        <v>46372</v>
      </c>
    </row>
    <row r="351" customFormat="false" ht="15" hidden="false" customHeight="true" outlineLevel="0" collapsed="false">
      <c r="A351" s="83" t="n">
        <v>46373</v>
      </c>
    </row>
    <row r="352" customFormat="false" ht="15" hidden="false" customHeight="true" outlineLevel="0" collapsed="false">
      <c r="A352" s="83" t="n">
        <v>46374</v>
      </c>
    </row>
    <row r="353" customFormat="false" ht="15" hidden="false" customHeight="true" outlineLevel="0" collapsed="false">
      <c r="A353" s="83" t="n">
        <v>46375</v>
      </c>
    </row>
    <row r="354" customFormat="false" ht="15" hidden="false" customHeight="true" outlineLevel="0" collapsed="false">
      <c r="A354" s="83" t="n">
        <v>46376</v>
      </c>
    </row>
    <row r="355" customFormat="false" ht="15" hidden="false" customHeight="true" outlineLevel="0" collapsed="false">
      <c r="A355" s="83" t="n">
        <v>46377</v>
      </c>
    </row>
    <row r="356" customFormat="false" ht="15" hidden="false" customHeight="true" outlineLevel="0" collapsed="false">
      <c r="A356" s="83" t="n">
        <v>46378</v>
      </c>
    </row>
    <row r="357" customFormat="false" ht="15" hidden="false" customHeight="true" outlineLevel="0" collapsed="false">
      <c r="A357" s="83" t="n">
        <v>46379</v>
      </c>
    </row>
    <row r="358" customFormat="false" ht="15" hidden="false" customHeight="true" outlineLevel="0" collapsed="false">
      <c r="A358" s="83" t="n">
        <v>46380</v>
      </c>
    </row>
    <row r="359" customFormat="false" ht="15" hidden="false" customHeight="true" outlineLevel="0" collapsed="false">
      <c r="A359" s="83" t="n">
        <v>46381</v>
      </c>
    </row>
    <row r="360" customFormat="false" ht="15" hidden="false" customHeight="true" outlineLevel="0" collapsed="false">
      <c r="A360" s="83" t="n">
        <v>46382</v>
      </c>
    </row>
    <row r="361" customFormat="false" ht="15" hidden="false" customHeight="true" outlineLevel="0" collapsed="false">
      <c r="A361" s="83" t="n">
        <v>46383</v>
      </c>
    </row>
    <row r="362" customFormat="false" ht="15" hidden="false" customHeight="true" outlineLevel="0" collapsed="false">
      <c r="A362" s="83" t="n">
        <v>46384</v>
      </c>
    </row>
    <row r="363" customFormat="false" ht="15" hidden="false" customHeight="true" outlineLevel="0" collapsed="false">
      <c r="A363" s="83" t="n">
        <v>46385</v>
      </c>
    </row>
    <row r="364" customFormat="false" ht="15" hidden="false" customHeight="true" outlineLevel="0" collapsed="false">
      <c r="A364" s="83" t="n">
        <v>46386</v>
      </c>
    </row>
    <row r="365" customFormat="false" ht="15" hidden="false" customHeight="true" outlineLevel="0" collapsed="false">
      <c r="A365" s="83" t="n">
        <v>46387</v>
      </c>
    </row>
    <row r="366" customFormat="false" ht="15" hidden="false" customHeight="true" outlineLevel="0" collapsed="false">
      <c r="A366" s="83" t="n">
        <v>46388</v>
      </c>
    </row>
    <row r="367" customFormat="false" ht="15" hidden="false" customHeight="true" outlineLevel="0" collapsed="false">
      <c r="A367" s="83" t="n">
        <v>46389</v>
      </c>
    </row>
    <row r="368" customFormat="false" ht="15" hidden="false" customHeight="true" outlineLevel="0" collapsed="false">
      <c r="A368" s="83" t="n">
        <v>46390</v>
      </c>
    </row>
    <row r="369" customFormat="false" ht="15" hidden="false" customHeight="true" outlineLevel="0" collapsed="false">
      <c r="A369" s="83" t="n">
        <v>46391</v>
      </c>
    </row>
    <row r="370" customFormat="false" ht="15" hidden="false" customHeight="true" outlineLevel="0" collapsed="false">
      <c r="A370" s="83" t="n">
        <v>46392</v>
      </c>
    </row>
    <row r="371" customFormat="false" ht="15" hidden="false" customHeight="true" outlineLevel="0" collapsed="false">
      <c r="A371" s="83" t="n">
        <v>46393</v>
      </c>
    </row>
    <row r="372" customFormat="false" ht="15" hidden="false" customHeight="true" outlineLevel="0" collapsed="false">
      <c r="A372" s="83" t="n">
        <v>46394</v>
      </c>
    </row>
    <row r="373" customFormat="false" ht="15" hidden="false" customHeight="true" outlineLevel="0" collapsed="false">
      <c r="A373" s="83" t="n">
        <v>46395</v>
      </c>
    </row>
    <row r="374" customFormat="false" ht="15" hidden="false" customHeight="true" outlineLevel="0" collapsed="false">
      <c r="A374" s="83" t="n">
        <v>46396</v>
      </c>
    </row>
    <row r="375" customFormat="false" ht="15" hidden="false" customHeight="true" outlineLevel="0" collapsed="false">
      <c r="A375" s="83" t="n">
        <v>46397</v>
      </c>
    </row>
    <row r="376" customFormat="false" ht="15" hidden="false" customHeight="true" outlineLevel="0" collapsed="false">
      <c r="A376" s="83" t="n">
        <v>46398</v>
      </c>
    </row>
    <row r="377" customFormat="false" ht="15" hidden="false" customHeight="true" outlineLevel="0" collapsed="false">
      <c r="A377" s="83" t="n">
        <v>46399</v>
      </c>
    </row>
    <row r="378" customFormat="false" ht="15" hidden="false" customHeight="true" outlineLevel="0" collapsed="false">
      <c r="A378" s="83" t="n">
        <v>46400</v>
      </c>
    </row>
    <row r="379" customFormat="false" ht="15" hidden="false" customHeight="true" outlineLevel="0" collapsed="false">
      <c r="A379" s="83" t="n">
        <v>46401</v>
      </c>
    </row>
    <row r="380" customFormat="false" ht="15" hidden="false" customHeight="true" outlineLevel="0" collapsed="false">
      <c r="A380" s="83" t="n">
        <v>46402</v>
      </c>
    </row>
    <row r="381" customFormat="false" ht="15" hidden="false" customHeight="true" outlineLevel="0" collapsed="false">
      <c r="A381" s="83" t="n">
        <v>46403</v>
      </c>
    </row>
    <row r="382" customFormat="false" ht="15" hidden="false" customHeight="true" outlineLevel="0" collapsed="false">
      <c r="A382" s="83" t="n">
        <v>46404</v>
      </c>
    </row>
    <row r="383" customFormat="false" ht="15" hidden="false" customHeight="true" outlineLevel="0" collapsed="false">
      <c r="A383" s="83" t="n">
        <v>46405</v>
      </c>
    </row>
    <row r="384" customFormat="false" ht="15" hidden="false" customHeight="true" outlineLevel="0" collapsed="false">
      <c r="A384" s="83" t="n">
        <v>46406</v>
      </c>
    </row>
    <row r="385" customFormat="false" ht="15" hidden="false" customHeight="true" outlineLevel="0" collapsed="false">
      <c r="A385" s="83" t="n">
        <v>46407</v>
      </c>
    </row>
    <row r="386" customFormat="false" ht="15" hidden="false" customHeight="true" outlineLevel="0" collapsed="false">
      <c r="A386" s="83" t="n">
        <v>46408</v>
      </c>
    </row>
    <row r="387" customFormat="false" ht="15" hidden="false" customHeight="true" outlineLevel="0" collapsed="false">
      <c r="A387" s="83" t="n">
        <v>46409</v>
      </c>
    </row>
    <row r="388" customFormat="false" ht="15" hidden="false" customHeight="true" outlineLevel="0" collapsed="false">
      <c r="A388" s="83" t="n">
        <v>46410</v>
      </c>
    </row>
    <row r="389" customFormat="false" ht="15" hidden="false" customHeight="true" outlineLevel="0" collapsed="false">
      <c r="A389" s="83" t="n">
        <v>46411</v>
      </c>
    </row>
    <row r="390" customFormat="false" ht="15" hidden="false" customHeight="true" outlineLevel="0" collapsed="false">
      <c r="A390" s="83" t="n">
        <v>46412</v>
      </c>
    </row>
    <row r="391" customFormat="false" ht="15" hidden="false" customHeight="true" outlineLevel="0" collapsed="false">
      <c r="A391" s="83" t="n">
        <v>46413</v>
      </c>
    </row>
    <row r="392" customFormat="false" ht="15" hidden="false" customHeight="true" outlineLevel="0" collapsed="false">
      <c r="A392" s="83" t="n">
        <v>46414</v>
      </c>
    </row>
    <row r="393" customFormat="false" ht="15" hidden="false" customHeight="true" outlineLevel="0" collapsed="false">
      <c r="A393" s="83" t="n">
        <v>46415</v>
      </c>
    </row>
    <row r="394" customFormat="false" ht="15" hidden="false" customHeight="true" outlineLevel="0" collapsed="false">
      <c r="A394" s="83" t="n">
        <v>46416</v>
      </c>
    </row>
    <row r="395" customFormat="false" ht="15" hidden="false" customHeight="true" outlineLevel="0" collapsed="false">
      <c r="A395" s="83" t="n">
        <v>46417</v>
      </c>
    </row>
    <row r="396" customFormat="false" ht="15" hidden="false" customHeight="true" outlineLevel="0" collapsed="false">
      <c r="A396" s="83" t="n">
        <v>46418</v>
      </c>
    </row>
    <row r="397" customFormat="false" ht="15" hidden="false" customHeight="true" outlineLevel="0" collapsed="false">
      <c r="A397" s="83" t="n">
        <v>46419</v>
      </c>
    </row>
    <row r="398" customFormat="false" ht="15" hidden="false" customHeight="true" outlineLevel="0" collapsed="false">
      <c r="A398" s="83" t="n">
        <v>46420</v>
      </c>
    </row>
    <row r="399" customFormat="false" ht="15" hidden="false" customHeight="true" outlineLevel="0" collapsed="false">
      <c r="A399" s="83" t="n">
        <v>46421</v>
      </c>
    </row>
    <row r="400" customFormat="false" ht="15" hidden="false" customHeight="true" outlineLevel="0" collapsed="false">
      <c r="A400" s="83" t="n">
        <v>46422</v>
      </c>
    </row>
    <row r="401" customFormat="false" ht="15" hidden="false" customHeight="true" outlineLevel="0" collapsed="false">
      <c r="A401" s="83" t="n">
        <v>46423</v>
      </c>
    </row>
    <row r="402" customFormat="false" ht="15" hidden="false" customHeight="true" outlineLevel="0" collapsed="false">
      <c r="A402" s="83" t="n">
        <v>46424</v>
      </c>
    </row>
    <row r="403" customFormat="false" ht="15" hidden="false" customHeight="true" outlineLevel="0" collapsed="false">
      <c r="A403" s="83" t="n">
        <v>46425</v>
      </c>
    </row>
    <row r="404" customFormat="false" ht="15" hidden="false" customHeight="true" outlineLevel="0" collapsed="false">
      <c r="A404" s="83" t="n">
        <v>46426</v>
      </c>
    </row>
    <row r="405" customFormat="false" ht="15" hidden="false" customHeight="true" outlineLevel="0" collapsed="false">
      <c r="A405" s="83" t="n">
        <v>46427</v>
      </c>
    </row>
    <row r="406" customFormat="false" ht="15" hidden="false" customHeight="true" outlineLevel="0" collapsed="false">
      <c r="A406" s="83" t="n">
        <v>46428</v>
      </c>
    </row>
    <row r="407" customFormat="false" ht="15" hidden="false" customHeight="true" outlineLevel="0" collapsed="false">
      <c r="A407" s="83" t="n">
        <v>46429</v>
      </c>
    </row>
    <row r="408" customFormat="false" ht="15" hidden="false" customHeight="true" outlineLevel="0" collapsed="false">
      <c r="A408" s="83" t="n">
        <v>46430</v>
      </c>
    </row>
    <row r="409" customFormat="false" ht="15" hidden="false" customHeight="true" outlineLevel="0" collapsed="false">
      <c r="A409" s="83" t="n">
        <v>46431</v>
      </c>
    </row>
    <row r="410" customFormat="false" ht="15" hidden="false" customHeight="true" outlineLevel="0" collapsed="false">
      <c r="A410" s="83" t="n">
        <v>46432</v>
      </c>
    </row>
    <row r="411" customFormat="false" ht="15" hidden="false" customHeight="true" outlineLevel="0" collapsed="false">
      <c r="A411" s="83" t="n">
        <v>46433</v>
      </c>
    </row>
    <row r="412" customFormat="false" ht="15" hidden="false" customHeight="true" outlineLevel="0" collapsed="false">
      <c r="A412" s="83" t="n">
        <v>46434</v>
      </c>
    </row>
    <row r="413" customFormat="false" ht="15" hidden="false" customHeight="true" outlineLevel="0" collapsed="false">
      <c r="A413" s="83" t="n">
        <v>46435</v>
      </c>
    </row>
    <row r="414" customFormat="false" ht="15" hidden="false" customHeight="true" outlineLevel="0" collapsed="false">
      <c r="A414" s="83" t="n">
        <v>46436</v>
      </c>
    </row>
    <row r="415" customFormat="false" ht="15" hidden="false" customHeight="true" outlineLevel="0" collapsed="false">
      <c r="A415" s="83" t="n">
        <v>46437</v>
      </c>
    </row>
    <row r="416" customFormat="false" ht="15" hidden="false" customHeight="true" outlineLevel="0" collapsed="false">
      <c r="A416" s="83" t="n">
        <v>46438</v>
      </c>
    </row>
    <row r="417" customFormat="false" ht="15" hidden="false" customHeight="true" outlineLevel="0" collapsed="false">
      <c r="A417" s="83" t="n">
        <v>46439</v>
      </c>
    </row>
    <row r="418" customFormat="false" ht="15" hidden="false" customHeight="true" outlineLevel="0" collapsed="false">
      <c r="A418" s="83" t="n">
        <v>46440</v>
      </c>
    </row>
    <row r="419" customFormat="false" ht="15" hidden="false" customHeight="true" outlineLevel="0" collapsed="false">
      <c r="A419" s="83" t="n">
        <v>46441</v>
      </c>
    </row>
    <row r="420" customFormat="false" ht="15" hidden="false" customHeight="true" outlineLevel="0" collapsed="false">
      <c r="A420" s="83" t="n">
        <v>46442</v>
      </c>
    </row>
    <row r="421" customFormat="false" ht="15" hidden="false" customHeight="true" outlineLevel="0" collapsed="false">
      <c r="A421" s="83" t="n">
        <v>46443</v>
      </c>
    </row>
    <row r="422" customFormat="false" ht="15" hidden="false" customHeight="true" outlineLevel="0" collapsed="false">
      <c r="A422" s="83" t="n">
        <v>46444</v>
      </c>
    </row>
    <row r="423" customFormat="false" ht="15" hidden="false" customHeight="true" outlineLevel="0" collapsed="false">
      <c r="A423" s="83" t="n">
        <v>46445</v>
      </c>
    </row>
    <row r="424" customFormat="false" ht="15" hidden="false" customHeight="true" outlineLevel="0" collapsed="false">
      <c r="A424" s="83" t="n">
        <v>46446</v>
      </c>
    </row>
    <row r="425" customFormat="false" ht="15" hidden="false" customHeight="true" outlineLevel="0" collapsed="false">
      <c r="A425" s="83" t="n">
        <v>46447</v>
      </c>
    </row>
    <row r="426" customFormat="false" ht="15" hidden="false" customHeight="true" outlineLevel="0" collapsed="false">
      <c r="A426" s="83" t="n">
        <v>46448</v>
      </c>
    </row>
    <row r="427" customFormat="false" ht="15" hidden="false" customHeight="true" outlineLevel="0" collapsed="false">
      <c r="A427" s="83" t="n">
        <v>46449</v>
      </c>
    </row>
    <row r="428" customFormat="false" ht="15" hidden="false" customHeight="true" outlineLevel="0" collapsed="false">
      <c r="A428" s="83" t="n">
        <v>46450</v>
      </c>
    </row>
    <row r="429" customFormat="false" ht="15" hidden="false" customHeight="true" outlineLevel="0" collapsed="false">
      <c r="A429" s="83" t="n">
        <v>46451</v>
      </c>
    </row>
    <row r="430" customFormat="false" ht="15" hidden="false" customHeight="true" outlineLevel="0" collapsed="false">
      <c r="A430" s="83" t="n">
        <v>46452</v>
      </c>
    </row>
    <row r="431" customFormat="false" ht="15" hidden="false" customHeight="true" outlineLevel="0" collapsed="false">
      <c r="A431" s="83" t="n">
        <v>46453</v>
      </c>
    </row>
    <row r="432" customFormat="false" ht="15" hidden="false" customHeight="true" outlineLevel="0" collapsed="false">
      <c r="A432" s="83" t="n">
        <v>46454</v>
      </c>
    </row>
    <row r="433" customFormat="false" ht="15" hidden="false" customHeight="true" outlineLevel="0" collapsed="false">
      <c r="A433" s="83" t="n">
        <v>46455</v>
      </c>
    </row>
    <row r="434" customFormat="false" ht="15" hidden="false" customHeight="true" outlineLevel="0" collapsed="false">
      <c r="A434" s="83" t="n">
        <v>46456</v>
      </c>
    </row>
    <row r="435" customFormat="false" ht="15" hidden="false" customHeight="true" outlineLevel="0" collapsed="false">
      <c r="A435" s="83" t="n">
        <v>46457</v>
      </c>
    </row>
    <row r="436" customFormat="false" ht="15" hidden="false" customHeight="true" outlineLevel="0" collapsed="false">
      <c r="A436" s="83" t="n">
        <v>46458</v>
      </c>
    </row>
    <row r="437" customFormat="false" ht="15" hidden="false" customHeight="true" outlineLevel="0" collapsed="false">
      <c r="A437" s="83" t="n">
        <v>46459</v>
      </c>
    </row>
    <row r="438" customFormat="false" ht="15" hidden="false" customHeight="true" outlineLevel="0" collapsed="false">
      <c r="A438" s="83" t="n">
        <v>46460</v>
      </c>
    </row>
    <row r="439" customFormat="false" ht="15" hidden="false" customHeight="true" outlineLevel="0" collapsed="false">
      <c r="A439" s="83" t="n">
        <v>46461</v>
      </c>
    </row>
    <row r="440" customFormat="false" ht="15" hidden="false" customHeight="true" outlineLevel="0" collapsed="false">
      <c r="A440" s="83" t="n">
        <v>46462</v>
      </c>
    </row>
    <row r="441" customFormat="false" ht="15" hidden="false" customHeight="true" outlineLevel="0" collapsed="false">
      <c r="A441" s="83" t="n">
        <v>46463</v>
      </c>
    </row>
    <row r="442" customFormat="false" ht="15" hidden="false" customHeight="true" outlineLevel="0" collapsed="false">
      <c r="A442" s="83" t="n">
        <v>46464</v>
      </c>
    </row>
    <row r="443" customFormat="false" ht="15" hidden="false" customHeight="true" outlineLevel="0" collapsed="false">
      <c r="A443" s="83" t="n">
        <v>46465</v>
      </c>
    </row>
    <row r="444" customFormat="false" ht="15" hidden="false" customHeight="true" outlineLevel="0" collapsed="false">
      <c r="A444" s="83" t="n">
        <v>46466</v>
      </c>
    </row>
    <row r="445" customFormat="false" ht="15" hidden="false" customHeight="true" outlineLevel="0" collapsed="false">
      <c r="A445" s="83" t="n">
        <v>46467</v>
      </c>
    </row>
    <row r="446" customFormat="false" ht="15" hidden="false" customHeight="true" outlineLevel="0" collapsed="false">
      <c r="A446" s="83" t="n">
        <v>46468</v>
      </c>
    </row>
    <row r="447" customFormat="false" ht="15" hidden="false" customHeight="true" outlineLevel="0" collapsed="false">
      <c r="A447" s="83" t="n">
        <v>46469</v>
      </c>
    </row>
    <row r="448" customFormat="false" ht="15" hidden="false" customHeight="true" outlineLevel="0" collapsed="false">
      <c r="A448" s="83" t="n">
        <v>46470</v>
      </c>
    </row>
    <row r="449" customFormat="false" ht="15" hidden="false" customHeight="true" outlineLevel="0" collapsed="false">
      <c r="A449" s="83" t="n">
        <v>46471</v>
      </c>
    </row>
    <row r="450" customFormat="false" ht="15" hidden="false" customHeight="true" outlineLevel="0" collapsed="false">
      <c r="A450" s="83" t="n">
        <v>46472</v>
      </c>
    </row>
    <row r="451" customFormat="false" ht="15" hidden="false" customHeight="true" outlineLevel="0" collapsed="false">
      <c r="A451" s="83" t="n">
        <v>46473</v>
      </c>
    </row>
    <row r="452" customFormat="false" ht="15" hidden="false" customHeight="true" outlineLevel="0" collapsed="false">
      <c r="A452" s="83" t="n">
        <v>46474</v>
      </c>
    </row>
    <row r="453" customFormat="false" ht="15" hidden="false" customHeight="true" outlineLevel="0" collapsed="false">
      <c r="A453" s="83" t="n">
        <v>46475</v>
      </c>
    </row>
    <row r="454" customFormat="false" ht="15" hidden="false" customHeight="true" outlineLevel="0" collapsed="false">
      <c r="A454" s="83" t="n">
        <v>46476</v>
      </c>
    </row>
    <row r="455" customFormat="false" ht="15" hidden="false" customHeight="true" outlineLevel="0" collapsed="false">
      <c r="A455" s="83" t="n">
        <v>46477</v>
      </c>
    </row>
    <row r="456" customFormat="false" ht="15" hidden="false" customHeight="true" outlineLevel="0" collapsed="false">
      <c r="A456" s="83" t="n">
        <v>46478</v>
      </c>
    </row>
    <row r="457" customFormat="false" ht="15" hidden="false" customHeight="true" outlineLevel="0" collapsed="false">
      <c r="A457" s="83" t="n">
        <v>46479</v>
      </c>
    </row>
    <row r="458" customFormat="false" ht="15" hidden="false" customHeight="true" outlineLevel="0" collapsed="false">
      <c r="A458" s="83" t="n">
        <v>46480</v>
      </c>
    </row>
    <row r="459" customFormat="false" ht="15" hidden="false" customHeight="true" outlineLevel="0" collapsed="false">
      <c r="A459" s="83" t="n">
        <v>46481</v>
      </c>
    </row>
    <row r="460" customFormat="false" ht="15" hidden="false" customHeight="true" outlineLevel="0" collapsed="false">
      <c r="A460" s="83" t="n">
        <v>46482</v>
      </c>
    </row>
    <row r="461" customFormat="false" ht="15" hidden="false" customHeight="true" outlineLevel="0" collapsed="false">
      <c r="A461" s="83" t="n">
        <v>46483</v>
      </c>
    </row>
    <row r="462" customFormat="false" ht="15" hidden="false" customHeight="true" outlineLevel="0" collapsed="false">
      <c r="A462" s="83" t="n">
        <v>46484</v>
      </c>
    </row>
    <row r="463" customFormat="false" ht="15" hidden="false" customHeight="true" outlineLevel="0" collapsed="false">
      <c r="A463" s="83" t="n">
        <v>46485</v>
      </c>
    </row>
    <row r="464" customFormat="false" ht="15" hidden="false" customHeight="true" outlineLevel="0" collapsed="false">
      <c r="A464" s="83" t="n">
        <v>46486</v>
      </c>
    </row>
    <row r="465" customFormat="false" ht="15" hidden="false" customHeight="true" outlineLevel="0" collapsed="false">
      <c r="A465" s="83" t="n">
        <v>46487</v>
      </c>
    </row>
    <row r="466" customFormat="false" ht="15" hidden="false" customHeight="true" outlineLevel="0" collapsed="false">
      <c r="A466" s="83" t="n">
        <v>46488</v>
      </c>
    </row>
    <row r="467" customFormat="false" ht="15" hidden="false" customHeight="true" outlineLevel="0" collapsed="false">
      <c r="A467" s="83" t="n">
        <v>46489</v>
      </c>
    </row>
    <row r="468" customFormat="false" ht="15" hidden="false" customHeight="true" outlineLevel="0" collapsed="false">
      <c r="A468" s="83" t="n">
        <v>46490</v>
      </c>
    </row>
    <row r="469" customFormat="false" ht="15" hidden="false" customHeight="true" outlineLevel="0" collapsed="false">
      <c r="A469" s="83" t="n">
        <v>46491</v>
      </c>
    </row>
    <row r="470" customFormat="false" ht="15" hidden="false" customHeight="true" outlineLevel="0" collapsed="false">
      <c r="A470" s="83" t="n">
        <v>46492</v>
      </c>
    </row>
    <row r="471" customFormat="false" ht="15" hidden="false" customHeight="true" outlineLevel="0" collapsed="false">
      <c r="A471" s="83" t="n">
        <v>46493</v>
      </c>
    </row>
    <row r="472" customFormat="false" ht="15" hidden="false" customHeight="true" outlineLevel="0" collapsed="false">
      <c r="A472" s="83" t="n">
        <v>46494</v>
      </c>
    </row>
    <row r="473" customFormat="false" ht="15" hidden="false" customHeight="true" outlineLevel="0" collapsed="false">
      <c r="A473" s="83" t="n">
        <v>46495</v>
      </c>
    </row>
    <row r="474" customFormat="false" ht="15" hidden="false" customHeight="true" outlineLevel="0" collapsed="false">
      <c r="A474" s="83" t="n">
        <v>46496</v>
      </c>
    </row>
    <row r="475" customFormat="false" ht="15" hidden="false" customHeight="true" outlineLevel="0" collapsed="false">
      <c r="A475" s="83" t="n">
        <v>46497</v>
      </c>
    </row>
    <row r="476" customFormat="false" ht="15" hidden="false" customHeight="true" outlineLevel="0" collapsed="false">
      <c r="A476" s="83" t="n">
        <v>46498</v>
      </c>
    </row>
    <row r="477" customFormat="false" ht="15" hidden="false" customHeight="true" outlineLevel="0" collapsed="false">
      <c r="A477" s="83" t="n">
        <v>46499</v>
      </c>
    </row>
    <row r="478" customFormat="false" ht="15" hidden="false" customHeight="true" outlineLevel="0" collapsed="false">
      <c r="A478" s="83" t="n">
        <v>46500</v>
      </c>
    </row>
    <row r="479" customFormat="false" ht="15" hidden="false" customHeight="true" outlineLevel="0" collapsed="false">
      <c r="A479" s="83" t="n">
        <v>46501</v>
      </c>
    </row>
    <row r="480" customFormat="false" ht="15" hidden="false" customHeight="true" outlineLevel="0" collapsed="false">
      <c r="A480" s="83" t="n">
        <v>46502</v>
      </c>
    </row>
    <row r="481" customFormat="false" ht="15" hidden="false" customHeight="true" outlineLevel="0" collapsed="false">
      <c r="A481" s="83" t="n">
        <v>46503</v>
      </c>
    </row>
    <row r="482" customFormat="false" ht="15" hidden="false" customHeight="true" outlineLevel="0" collapsed="false">
      <c r="A482" s="83" t="n">
        <v>46504</v>
      </c>
    </row>
    <row r="483" customFormat="false" ht="15" hidden="false" customHeight="true" outlineLevel="0" collapsed="false">
      <c r="A483" s="83" t="n">
        <v>46505</v>
      </c>
    </row>
    <row r="484" customFormat="false" ht="15" hidden="false" customHeight="true" outlineLevel="0" collapsed="false">
      <c r="A484" s="83" t="n">
        <v>46506</v>
      </c>
    </row>
    <row r="485" customFormat="false" ht="15" hidden="false" customHeight="true" outlineLevel="0" collapsed="false">
      <c r="A485" s="83" t="n">
        <v>46507</v>
      </c>
    </row>
    <row r="486" customFormat="false" ht="15" hidden="false" customHeight="true" outlineLevel="0" collapsed="false">
      <c r="A486" s="83" t="n">
        <v>46508</v>
      </c>
    </row>
    <row r="487" customFormat="false" ht="15" hidden="false" customHeight="true" outlineLevel="0" collapsed="false">
      <c r="A487" s="83" t="n">
        <v>46509</v>
      </c>
    </row>
    <row r="488" customFormat="false" ht="15" hidden="false" customHeight="true" outlineLevel="0" collapsed="false">
      <c r="A488" s="83" t="n">
        <v>46510</v>
      </c>
    </row>
    <row r="489" customFormat="false" ht="15" hidden="false" customHeight="true" outlineLevel="0" collapsed="false">
      <c r="A489" s="83" t="n">
        <v>46511</v>
      </c>
    </row>
    <row r="490" customFormat="false" ht="15" hidden="false" customHeight="true" outlineLevel="0" collapsed="false">
      <c r="A490" s="83" t="n">
        <v>46512</v>
      </c>
    </row>
    <row r="491" customFormat="false" ht="15" hidden="false" customHeight="true" outlineLevel="0" collapsed="false">
      <c r="A491" s="83" t="n">
        <v>46513</v>
      </c>
    </row>
    <row r="492" customFormat="false" ht="15" hidden="false" customHeight="true" outlineLevel="0" collapsed="false">
      <c r="A492" s="83" t="n">
        <v>46514</v>
      </c>
    </row>
    <row r="493" customFormat="false" ht="15" hidden="false" customHeight="true" outlineLevel="0" collapsed="false">
      <c r="A493" s="83" t="n">
        <v>46515</v>
      </c>
    </row>
    <row r="494" customFormat="false" ht="15" hidden="false" customHeight="true" outlineLevel="0" collapsed="false">
      <c r="A494" s="83" t="n">
        <v>46516</v>
      </c>
    </row>
    <row r="495" customFormat="false" ht="15" hidden="false" customHeight="true" outlineLevel="0" collapsed="false">
      <c r="A495" s="83" t="n">
        <v>46517</v>
      </c>
    </row>
    <row r="496" customFormat="false" ht="15" hidden="false" customHeight="true" outlineLevel="0" collapsed="false">
      <c r="A496" s="83" t="n">
        <v>46518</v>
      </c>
    </row>
    <row r="497" customFormat="false" ht="15" hidden="false" customHeight="true" outlineLevel="0" collapsed="false">
      <c r="A497" s="83" t="n">
        <v>46519</v>
      </c>
    </row>
    <row r="498" customFormat="false" ht="15" hidden="false" customHeight="true" outlineLevel="0" collapsed="false">
      <c r="A498" s="83" t="n">
        <v>46520</v>
      </c>
    </row>
    <row r="499" customFormat="false" ht="15" hidden="false" customHeight="true" outlineLevel="0" collapsed="false">
      <c r="A499" s="83" t="n">
        <v>46521</v>
      </c>
    </row>
    <row r="500" customFormat="false" ht="15" hidden="false" customHeight="true" outlineLevel="0" collapsed="false">
      <c r="A500" s="83" t="n">
        <v>46522</v>
      </c>
    </row>
    <row r="501" customFormat="false" ht="15" hidden="false" customHeight="true" outlineLevel="0" collapsed="false">
      <c r="A501" s="83" t="n">
        <v>46523</v>
      </c>
    </row>
    <row r="502" customFormat="false" ht="15" hidden="false" customHeight="true" outlineLevel="0" collapsed="false">
      <c r="A502" s="83" t="n">
        <v>46524</v>
      </c>
    </row>
    <row r="503" customFormat="false" ht="15" hidden="false" customHeight="true" outlineLevel="0" collapsed="false">
      <c r="A503" s="83" t="n">
        <v>46525</v>
      </c>
    </row>
    <row r="504" customFormat="false" ht="15" hidden="false" customHeight="true" outlineLevel="0" collapsed="false">
      <c r="A504" s="83" t="n">
        <v>46526</v>
      </c>
    </row>
    <row r="505" customFormat="false" ht="15" hidden="false" customHeight="true" outlineLevel="0" collapsed="false">
      <c r="A505" s="83" t="n">
        <v>46527</v>
      </c>
    </row>
    <row r="506" customFormat="false" ht="15" hidden="false" customHeight="true" outlineLevel="0" collapsed="false">
      <c r="A506" s="83" t="n">
        <v>46528</v>
      </c>
    </row>
    <row r="507" customFormat="false" ht="15" hidden="false" customHeight="true" outlineLevel="0" collapsed="false">
      <c r="A507" s="83" t="n">
        <v>46529</v>
      </c>
    </row>
    <row r="508" customFormat="false" ht="15" hidden="false" customHeight="true" outlineLevel="0" collapsed="false">
      <c r="A508" s="83" t="n">
        <v>46530</v>
      </c>
    </row>
    <row r="509" customFormat="false" ht="15" hidden="false" customHeight="true" outlineLevel="0" collapsed="false">
      <c r="A509" s="83" t="n">
        <v>46531</v>
      </c>
    </row>
    <row r="510" customFormat="false" ht="15" hidden="false" customHeight="true" outlineLevel="0" collapsed="false">
      <c r="A510" s="83" t="n">
        <v>46532</v>
      </c>
    </row>
    <row r="511" customFormat="false" ht="15" hidden="false" customHeight="true" outlineLevel="0" collapsed="false">
      <c r="A511" s="83" t="n">
        <v>46533</v>
      </c>
    </row>
    <row r="512" customFormat="false" ht="15" hidden="false" customHeight="true" outlineLevel="0" collapsed="false">
      <c r="A512" s="83" t="n">
        <v>46534</v>
      </c>
    </row>
    <row r="513" customFormat="false" ht="15" hidden="false" customHeight="true" outlineLevel="0" collapsed="false">
      <c r="A513" s="83" t="n">
        <v>46535</v>
      </c>
    </row>
    <row r="514" customFormat="false" ht="15" hidden="false" customHeight="true" outlineLevel="0" collapsed="false">
      <c r="A514" s="83" t="n">
        <v>46536</v>
      </c>
    </row>
    <row r="515" customFormat="false" ht="15" hidden="false" customHeight="true" outlineLevel="0" collapsed="false">
      <c r="A515" s="83" t="n">
        <v>46537</v>
      </c>
    </row>
    <row r="516" customFormat="false" ht="15" hidden="false" customHeight="true" outlineLevel="0" collapsed="false">
      <c r="A516" s="83" t="n">
        <v>46538</v>
      </c>
    </row>
    <row r="517" customFormat="false" ht="15" hidden="false" customHeight="true" outlineLevel="0" collapsed="false">
      <c r="A517" s="83" t="n">
        <v>46539</v>
      </c>
    </row>
    <row r="518" customFormat="false" ht="15" hidden="false" customHeight="true" outlineLevel="0" collapsed="false">
      <c r="A518" s="83" t="n">
        <v>46540</v>
      </c>
    </row>
    <row r="519" customFormat="false" ht="15" hidden="false" customHeight="true" outlineLevel="0" collapsed="false">
      <c r="A519" s="83" t="n">
        <v>46541</v>
      </c>
    </row>
    <row r="520" customFormat="false" ht="15" hidden="false" customHeight="true" outlineLevel="0" collapsed="false">
      <c r="A520" s="83" t="n">
        <v>46542</v>
      </c>
    </row>
    <row r="521" customFormat="false" ht="15" hidden="false" customHeight="true" outlineLevel="0" collapsed="false">
      <c r="A521" s="83" t="n">
        <v>46543</v>
      </c>
    </row>
    <row r="522" customFormat="false" ht="15" hidden="false" customHeight="true" outlineLevel="0" collapsed="false">
      <c r="A522" s="83" t="n">
        <v>46544</v>
      </c>
    </row>
    <row r="523" customFormat="false" ht="15" hidden="false" customHeight="true" outlineLevel="0" collapsed="false">
      <c r="A523" s="83" t="n">
        <v>46545</v>
      </c>
    </row>
    <row r="524" customFormat="false" ht="15" hidden="false" customHeight="true" outlineLevel="0" collapsed="false">
      <c r="A524" s="83" t="n">
        <v>46546</v>
      </c>
    </row>
    <row r="525" customFormat="false" ht="15" hidden="false" customHeight="true" outlineLevel="0" collapsed="false">
      <c r="A525" s="83" t="n">
        <v>46547</v>
      </c>
    </row>
    <row r="526" customFormat="false" ht="15" hidden="false" customHeight="true" outlineLevel="0" collapsed="false">
      <c r="A526" s="83" t="n">
        <v>46548</v>
      </c>
    </row>
    <row r="527" customFormat="false" ht="15" hidden="false" customHeight="true" outlineLevel="0" collapsed="false">
      <c r="A527" s="83" t="n">
        <v>46549</v>
      </c>
    </row>
    <row r="528" customFormat="false" ht="15" hidden="false" customHeight="true" outlineLevel="0" collapsed="false">
      <c r="A528" s="83" t="n">
        <v>46550</v>
      </c>
    </row>
    <row r="529" customFormat="false" ht="15" hidden="false" customHeight="true" outlineLevel="0" collapsed="false">
      <c r="A529" s="83" t="n">
        <v>46551</v>
      </c>
    </row>
    <row r="530" customFormat="false" ht="15" hidden="false" customHeight="true" outlineLevel="0" collapsed="false">
      <c r="A530" s="83" t="n">
        <v>46552</v>
      </c>
    </row>
    <row r="531" customFormat="false" ht="15" hidden="false" customHeight="true" outlineLevel="0" collapsed="false">
      <c r="A531" s="83" t="n">
        <v>46553</v>
      </c>
    </row>
    <row r="532" customFormat="false" ht="15" hidden="false" customHeight="true" outlineLevel="0" collapsed="false">
      <c r="A532" s="83" t="n">
        <v>46554</v>
      </c>
    </row>
    <row r="533" customFormat="false" ht="15" hidden="false" customHeight="true" outlineLevel="0" collapsed="false">
      <c r="A533" s="83" t="n">
        <v>46555</v>
      </c>
    </row>
    <row r="534" customFormat="false" ht="15" hidden="false" customHeight="true" outlineLevel="0" collapsed="false">
      <c r="A534" s="83" t="n">
        <v>46556</v>
      </c>
    </row>
    <row r="535" customFormat="false" ht="15" hidden="false" customHeight="true" outlineLevel="0" collapsed="false">
      <c r="A535" s="83" t="n">
        <v>46557</v>
      </c>
    </row>
    <row r="536" customFormat="false" ht="15" hidden="false" customHeight="true" outlineLevel="0" collapsed="false">
      <c r="A536" s="83" t="n">
        <v>46558</v>
      </c>
    </row>
    <row r="537" customFormat="false" ht="15" hidden="false" customHeight="true" outlineLevel="0" collapsed="false">
      <c r="A537" s="83" t="n">
        <v>46559</v>
      </c>
    </row>
    <row r="538" customFormat="false" ht="15" hidden="false" customHeight="true" outlineLevel="0" collapsed="false">
      <c r="A538" s="83" t="n">
        <v>46560</v>
      </c>
    </row>
    <row r="539" customFormat="false" ht="15" hidden="false" customHeight="true" outlineLevel="0" collapsed="false">
      <c r="A539" s="83" t="n">
        <v>46561</v>
      </c>
    </row>
    <row r="540" customFormat="false" ht="15" hidden="false" customHeight="true" outlineLevel="0" collapsed="false">
      <c r="A540" s="83" t="n">
        <v>46562</v>
      </c>
    </row>
    <row r="541" customFormat="false" ht="15" hidden="false" customHeight="true" outlineLevel="0" collapsed="false">
      <c r="A541" s="83" t="n">
        <v>46563</v>
      </c>
    </row>
    <row r="542" customFormat="false" ht="15" hidden="false" customHeight="true" outlineLevel="0" collapsed="false">
      <c r="A542" s="83" t="n">
        <v>46564</v>
      </c>
    </row>
    <row r="543" customFormat="false" ht="15" hidden="false" customHeight="true" outlineLevel="0" collapsed="false">
      <c r="A543" s="83" t="n">
        <v>46565</v>
      </c>
    </row>
    <row r="544" customFormat="false" ht="15" hidden="false" customHeight="true" outlineLevel="0" collapsed="false">
      <c r="A544" s="83" t="n">
        <v>46566</v>
      </c>
    </row>
    <row r="545" customFormat="false" ht="15" hidden="false" customHeight="true" outlineLevel="0" collapsed="false">
      <c r="A545" s="83" t="n">
        <v>46567</v>
      </c>
    </row>
    <row r="546" customFormat="false" ht="15" hidden="false" customHeight="true" outlineLevel="0" collapsed="false">
      <c r="A546" s="83" t="n">
        <v>46568</v>
      </c>
    </row>
    <row r="547" customFormat="false" ht="15" hidden="false" customHeight="true" outlineLevel="0" collapsed="false">
      <c r="A547" s="83" t="n">
        <v>46569</v>
      </c>
    </row>
    <row r="548" customFormat="false" ht="15" hidden="false" customHeight="true" outlineLevel="0" collapsed="false">
      <c r="A548" s="83" t="n">
        <v>46570</v>
      </c>
    </row>
    <row r="549" customFormat="false" ht="15" hidden="false" customHeight="true" outlineLevel="0" collapsed="false">
      <c r="A549" s="83" t="n">
        <v>46571</v>
      </c>
    </row>
    <row r="550" customFormat="false" ht="15" hidden="false" customHeight="true" outlineLevel="0" collapsed="false">
      <c r="A550" s="83" t="n">
        <v>46572</v>
      </c>
    </row>
    <row r="551" customFormat="false" ht="15" hidden="false" customHeight="true" outlineLevel="0" collapsed="false">
      <c r="A551" s="83" t="n">
        <v>46573</v>
      </c>
    </row>
    <row r="552" customFormat="false" ht="15" hidden="false" customHeight="true" outlineLevel="0" collapsed="false">
      <c r="A552" s="83" t="n">
        <v>46574</v>
      </c>
    </row>
    <row r="553" customFormat="false" ht="15" hidden="false" customHeight="true" outlineLevel="0" collapsed="false">
      <c r="A553" s="83" t="n">
        <v>46575</v>
      </c>
    </row>
    <row r="554" customFormat="false" ht="15" hidden="false" customHeight="true" outlineLevel="0" collapsed="false">
      <c r="A554" s="83" t="n">
        <v>46576</v>
      </c>
    </row>
    <row r="555" customFormat="false" ht="15" hidden="false" customHeight="true" outlineLevel="0" collapsed="false">
      <c r="A555" s="83" t="n">
        <v>46577</v>
      </c>
    </row>
    <row r="556" customFormat="false" ht="15" hidden="false" customHeight="true" outlineLevel="0" collapsed="false">
      <c r="A556" s="83" t="n">
        <v>46578</v>
      </c>
    </row>
    <row r="557" customFormat="false" ht="15" hidden="false" customHeight="true" outlineLevel="0" collapsed="false">
      <c r="A557" s="83" t="n">
        <v>46579</v>
      </c>
    </row>
    <row r="558" customFormat="false" ht="15" hidden="false" customHeight="true" outlineLevel="0" collapsed="false">
      <c r="A558" s="83" t="n">
        <v>46580</v>
      </c>
    </row>
    <row r="559" customFormat="false" ht="15" hidden="false" customHeight="true" outlineLevel="0" collapsed="false">
      <c r="A559" s="83" t="n">
        <v>46581</v>
      </c>
    </row>
    <row r="560" customFormat="false" ht="15" hidden="false" customHeight="true" outlineLevel="0" collapsed="false">
      <c r="A560" s="83" t="n">
        <v>46582</v>
      </c>
    </row>
    <row r="561" customFormat="false" ht="15" hidden="false" customHeight="true" outlineLevel="0" collapsed="false">
      <c r="A561" s="83" t="n">
        <v>46583</v>
      </c>
    </row>
    <row r="562" customFormat="false" ht="15" hidden="false" customHeight="true" outlineLevel="0" collapsed="false">
      <c r="A562" s="83" t="n">
        <v>46584</v>
      </c>
    </row>
    <row r="563" customFormat="false" ht="15" hidden="false" customHeight="true" outlineLevel="0" collapsed="false">
      <c r="A563" s="83" t="n">
        <v>46585</v>
      </c>
    </row>
    <row r="564" customFormat="false" ht="15" hidden="false" customHeight="true" outlineLevel="0" collapsed="false">
      <c r="A564" s="83" t="n">
        <v>46586</v>
      </c>
    </row>
    <row r="565" customFormat="false" ht="15" hidden="false" customHeight="true" outlineLevel="0" collapsed="false">
      <c r="A565" s="83" t="n">
        <v>46587</v>
      </c>
    </row>
    <row r="566" customFormat="false" ht="15" hidden="false" customHeight="true" outlineLevel="0" collapsed="false">
      <c r="A566" s="83" t="n">
        <v>46588</v>
      </c>
    </row>
    <row r="567" customFormat="false" ht="15" hidden="false" customHeight="true" outlineLevel="0" collapsed="false">
      <c r="A567" s="83" t="n">
        <v>46589</v>
      </c>
    </row>
    <row r="568" customFormat="false" ht="15" hidden="false" customHeight="true" outlineLevel="0" collapsed="false">
      <c r="A568" s="83" t="n">
        <v>46590</v>
      </c>
    </row>
    <row r="569" customFormat="false" ht="15" hidden="false" customHeight="true" outlineLevel="0" collapsed="false">
      <c r="A569" s="83" t="n">
        <v>46591</v>
      </c>
    </row>
    <row r="570" customFormat="false" ht="15" hidden="false" customHeight="true" outlineLevel="0" collapsed="false">
      <c r="A570" s="83" t="n">
        <v>46592</v>
      </c>
    </row>
    <row r="571" customFormat="false" ht="15" hidden="false" customHeight="true" outlineLevel="0" collapsed="false">
      <c r="A571" s="83" t="n">
        <v>46593</v>
      </c>
    </row>
    <row r="572" customFormat="false" ht="15" hidden="false" customHeight="true" outlineLevel="0" collapsed="false">
      <c r="A572" s="83" t="n">
        <v>46594</v>
      </c>
    </row>
    <row r="573" customFormat="false" ht="15" hidden="false" customHeight="true" outlineLevel="0" collapsed="false">
      <c r="A573" s="83" t="n">
        <v>46595</v>
      </c>
    </row>
    <row r="574" customFormat="false" ht="15" hidden="false" customHeight="true" outlineLevel="0" collapsed="false">
      <c r="A574" s="83" t="n">
        <v>46596</v>
      </c>
    </row>
    <row r="575" customFormat="false" ht="15" hidden="false" customHeight="true" outlineLevel="0" collapsed="false">
      <c r="A575" s="83" t="n">
        <v>46597</v>
      </c>
    </row>
    <row r="576" customFormat="false" ht="15" hidden="false" customHeight="true" outlineLevel="0" collapsed="false">
      <c r="A576" s="83" t="n">
        <v>46598</v>
      </c>
    </row>
    <row r="577" customFormat="false" ht="15" hidden="false" customHeight="true" outlineLevel="0" collapsed="false">
      <c r="A577" s="83" t="n">
        <v>46599</v>
      </c>
    </row>
    <row r="578" customFormat="false" ht="15" hidden="false" customHeight="true" outlineLevel="0" collapsed="false">
      <c r="A578" s="83" t="n">
        <v>46600</v>
      </c>
    </row>
    <row r="579" customFormat="false" ht="15" hidden="false" customHeight="true" outlineLevel="0" collapsed="false">
      <c r="A579" s="83" t="n">
        <v>46601</v>
      </c>
    </row>
    <row r="580" customFormat="false" ht="15" hidden="false" customHeight="true" outlineLevel="0" collapsed="false">
      <c r="A580" s="83" t="n">
        <v>46602</v>
      </c>
    </row>
    <row r="581" customFormat="false" ht="15" hidden="false" customHeight="true" outlineLevel="0" collapsed="false">
      <c r="A581" s="83" t="n">
        <v>46603</v>
      </c>
    </row>
    <row r="582" customFormat="false" ht="15" hidden="false" customHeight="true" outlineLevel="0" collapsed="false">
      <c r="A582" s="83" t="n">
        <v>46604</v>
      </c>
    </row>
    <row r="583" customFormat="false" ht="15" hidden="false" customHeight="true" outlineLevel="0" collapsed="false">
      <c r="A583" s="83" t="n">
        <v>46605</v>
      </c>
    </row>
    <row r="584" customFormat="false" ht="15" hidden="false" customHeight="true" outlineLevel="0" collapsed="false">
      <c r="A584" s="83" t="n">
        <v>46606</v>
      </c>
    </row>
    <row r="585" customFormat="false" ht="15" hidden="false" customHeight="true" outlineLevel="0" collapsed="false">
      <c r="A585" s="83" t="n">
        <v>46607</v>
      </c>
    </row>
    <row r="586" customFormat="false" ht="15" hidden="false" customHeight="true" outlineLevel="0" collapsed="false">
      <c r="A586" s="83" t="n">
        <v>46608</v>
      </c>
    </row>
    <row r="587" customFormat="false" ht="15" hidden="false" customHeight="true" outlineLevel="0" collapsed="false">
      <c r="A587" s="83" t="n">
        <v>46609</v>
      </c>
    </row>
    <row r="588" customFormat="false" ht="15" hidden="false" customHeight="true" outlineLevel="0" collapsed="false">
      <c r="A588" s="83" t="n">
        <v>46610</v>
      </c>
    </row>
    <row r="589" customFormat="false" ht="15" hidden="false" customHeight="true" outlineLevel="0" collapsed="false">
      <c r="A589" s="83" t="n">
        <v>46611</v>
      </c>
    </row>
    <row r="590" customFormat="false" ht="15" hidden="false" customHeight="true" outlineLevel="0" collapsed="false">
      <c r="A590" s="83" t="n">
        <v>46612</v>
      </c>
    </row>
    <row r="591" customFormat="false" ht="15" hidden="false" customHeight="true" outlineLevel="0" collapsed="false">
      <c r="A591" s="83" t="n">
        <v>46613</v>
      </c>
    </row>
    <row r="592" customFormat="false" ht="15" hidden="false" customHeight="true" outlineLevel="0" collapsed="false">
      <c r="A592" s="83" t="n">
        <v>46614</v>
      </c>
    </row>
    <row r="593" customFormat="false" ht="15" hidden="false" customHeight="true" outlineLevel="0" collapsed="false">
      <c r="A593" s="83" t="n">
        <v>46615</v>
      </c>
    </row>
    <row r="594" customFormat="false" ht="15" hidden="false" customHeight="true" outlineLevel="0" collapsed="false">
      <c r="A594" s="83" t="n">
        <v>46616</v>
      </c>
    </row>
    <row r="595" customFormat="false" ht="15" hidden="false" customHeight="true" outlineLevel="0" collapsed="false">
      <c r="A595" s="83" t="n">
        <v>46617</v>
      </c>
    </row>
    <row r="596" customFormat="false" ht="15" hidden="false" customHeight="true" outlineLevel="0" collapsed="false">
      <c r="A596" s="83" t="n">
        <v>46618</v>
      </c>
    </row>
    <row r="597" customFormat="false" ht="15" hidden="false" customHeight="true" outlineLevel="0" collapsed="false">
      <c r="A597" s="83" t="n">
        <v>46619</v>
      </c>
    </row>
    <row r="598" customFormat="false" ht="15" hidden="false" customHeight="true" outlineLevel="0" collapsed="false">
      <c r="A598" s="83" t="n">
        <v>46620</v>
      </c>
    </row>
    <row r="599" customFormat="false" ht="15" hidden="false" customHeight="true" outlineLevel="0" collapsed="false">
      <c r="A599" s="83" t="n">
        <v>46621</v>
      </c>
    </row>
    <row r="600" customFormat="false" ht="15" hidden="false" customHeight="true" outlineLevel="0" collapsed="false">
      <c r="A600" s="83" t="n">
        <v>46622</v>
      </c>
    </row>
    <row r="601" customFormat="false" ht="15" hidden="false" customHeight="true" outlineLevel="0" collapsed="false">
      <c r="A601" s="83" t="n">
        <v>46623</v>
      </c>
    </row>
    <row r="602" customFormat="false" ht="15" hidden="false" customHeight="true" outlineLevel="0" collapsed="false">
      <c r="A602" s="83" t="n">
        <v>46624</v>
      </c>
    </row>
    <row r="603" customFormat="false" ht="15" hidden="false" customHeight="true" outlineLevel="0" collapsed="false">
      <c r="A603" s="83" t="n">
        <v>46625</v>
      </c>
    </row>
    <row r="604" customFormat="false" ht="15" hidden="false" customHeight="true" outlineLevel="0" collapsed="false">
      <c r="A604" s="83" t="n">
        <v>46626</v>
      </c>
    </row>
    <row r="605" customFormat="false" ht="15" hidden="false" customHeight="true" outlineLevel="0" collapsed="false">
      <c r="A605" s="83" t="n">
        <v>46627</v>
      </c>
    </row>
    <row r="606" customFormat="false" ht="15" hidden="false" customHeight="true" outlineLevel="0" collapsed="false">
      <c r="A606" s="83" t="n">
        <v>46628</v>
      </c>
    </row>
    <row r="607" customFormat="false" ht="15" hidden="false" customHeight="true" outlineLevel="0" collapsed="false">
      <c r="A607" s="83" t="n">
        <v>46629</v>
      </c>
    </row>
    <row r="608" customFormat="false" ht="15" hidden="false" customHeight="true" outlineLevel="0" collapsed="false">
      <c r="A608" s="83" t="n">
        <v>46630</v>
      </c>
    </row>
    <row r="609" customFormat="false" ht="15" hidden="false" customHeight="true" outlineLevel="0" collapsed="false">
      <c r="A609" s="83" t="n">
        <v>46631</v>
      </c>
    </row>
    <row r="610" customFormat="false" ht="15" hidden="false" customHeight="true" outlineLevel="0" collapsed="false">
      <c r="A610" s="83" t="n">
        <v>46632</v>
      </c>
    </row>
    <row r="611" customFormat="false" ht="15" hidden="false" customHeight="true" outlineLevel="0" collapsed="false">
      <c r="A611" s="83" t="n">
        <v>46633</v>
      </c>
    </row>
    <row r="612" customFormat="false" ht="15" hidden="false" customHeight="true" outlineLevel="0" collapsed="false">
      <c r="A612" s="83" t="n">
        <v>46634</v>
      </c>
    </row>
    <row r="613" customFormat="false" ht="15" hidden="false" customHeight="true" outlineLevel="0" collapsed="false">
      <c r="A613" s="83" t="n">
        <v>46635</v>
      </c>
    </row>
    <row r="614" customFormat="false" ht="15" hidden="false" customHeight="true" outlineLevel="0" collapsed="false">
      <c r="A614" s="83" t="n">
        <v>46636</v>
      </c>
    </row>
    <row r="615" customFormat="false" ht="15" hidden="false" customHeight="true" outlineLevel="0" collapsed="false">
      <c r="A615" s="83" t="n">
        <v>46637</v>
      </c>
    </row>
    <row r="616" customFormat="false" ht="15" hidden="false" customHeight="true" outlineLevel="0" collapsed="false">
      <c r="A616" s="83" t="n">
        <v>46638</v>
      </c>
    </row>
    <row r="617" customFormat="false" ht="15" hidden="false" customHeight="true" outlineLevel="0" collapsed="false">
      <c r="A617" s="83" t="n">
        <v>46639</v>
      </c>
    </row>
    <row r="618" customFormat="false" ht="15" hidden="false" customHeight="true" outlineLevel="0" collapsed="false">
      <c r="A618" s="83" t="n">
        <v>46640</v>
      </c>
    </row>
    <row r="619" customFormat="false" ht="15" hidden="false" customHeight="true" outlineLevel="0" collapsed="false">
      <c r="A619" s="83" t="n">
        <v>46641</v>
      </c>
    </row>
    <row r="620" customFormat="false" ht="15" hidden="false" customHeight="true" outlineLevel="0" collapsed="false">
      <c r="A620" s="83" t="n">
        <v>46642</v>
      </c>
    </row>
    <row r="621" customFormat="false" ht="15" hidden="false" customHeight="true" outlineLevel="0" collapsed="false">
      <c r="A621" s="83" t="n">
        <v>46643</v>
      </c>
    </row>
    <row r="622" customFormat="false" ht="15" hidden="false" customHeight="true" outlineLevel="0" collapsed="false">
      <c r="A622" s="83" t="n">
        <v>46644</v>
      </c>
    </row>
    <row r="623" customFormat="false" ht="15" hidden="false" customHeight="true" outlineLevel="0" collapsed="false">
      <c r="A623" s="83" t="n">
        <v>46645</v>
      </c>
    </row>
    <row r="624" customFormat="false" ht="15" hidden="false" customHeight="true" outlineLevel="0" collapsed="false">
      <c r="A624" s="83" t="n">
        <v>46646</v>
      </c>
    </row>
    <row r="625" customFormat="false" ht="15" hidden="false" customHeight="true" outlineLevel="0" collapsed="false">
      <c r="A625" s="83" t="n">
        <v>46647</v>
      </c>
    </row>
    <row r="626" customFormat="false" ht="15" hidden="false" customHeight="true" outlineLevel="0" collapsed="false">
      <c r="A626" s="83" t="n">
        <v>46648</v>
      </c>
    </row>
    <row r="627" customFormat="false" ht="15" hidden="false" customHeight="true" outlineLevel="0" collapsed="false">
      <c r="A627" s="83" t="n">
        <v>46649</v>
      </c>
    </row>
    <row r="628" customFormat="false" ht="15" hidden="false" customHeight="true" outlineLevel="0" collapsed="false">
      <c r="A628" s="83" t="n">
        <v>46650</v>
      </c>
    </row>
    <row r="629" customFormat="false" ht="15" hidden="false" customHeight="true" outlineLevel="0" collapsed="false">
      <c r="A629" s="83" t="n">
        <v>46651</v>
      </c>
    </row>
    <row r="630" customFormat="false" ht="15" hidden="false" customHeight="true" outlineLevel="0" collapsed="false">
      <c r="A630" s="83" t="n">
        <v>46652</v>
      </c>
    </row>
    <row r="631" customFormat="false" ht="15" hidden="false" customHeight="true" outlineLevel="0" collapsed="false">
      <c r="A631" s="83" t="n">
        <v>46653</v>
      </c>
    </row>
    <row r="632" customFormat="false" ht="15" hidden="false" customHeight="true" outlineLevel="0" collapsed="false">
      <c r="A632" s="83" t="n">
        <v>46654</v>
      </c>
    </row>
    <row r="633" customFormat="false" ht="15" hidden="false" customHeight="true" outlineLevel="0" collapsed="false">
      <c r="A633" s="83" t="n">
        <v>46655</v>
      </c>
    </row>
    <row r="634" customFormat="false" ht="15" hidden="false" customHeight="true" outlineLevel="0" collapsed="false">
      <c r="A634" s="83" t="n">
        <v>46656</v>
      </c>
    </row>
    <row r="635" customFormat="false" ht="15" hidden="false" customHeight="true" outlineLevel="0" collapsed="false">
      <c r="A635" s="83" t="n">
        <v>46657</v>
      </c>
    </row>
    <row r="636" customFormat="false" ht="15" hidden="false" customHeight="true" outlineLevel="0" collapsed="false">
      <c r="A636" s="83" t="n">
        <v>46658</v>
      </c>
    </row>
    <row r="637" customFormat="false" ht="15" hidden="false" customHeight="true" outlineLevel="0" collapsed="false">
      <c r="A637" s="83" t="n">
        <v>46659</v>
      </c>
    </row>
    <row r="638" customFormat="false" ht="15" hidden="false" customHeight="true" outlineLevel="0" collapsed="false">
      <c r="A638" s="83" t="n">
        <v>46660</v>
      </c>
    </row>
    <row r="639" customFormat="false" ht="15" hidden="false" customHeight="true" outlineLevel="0" collapsed="false">
      <c r="A639" s="83" t="n">
        <v>46661</v>
      </c>
    </row>
    <row r="640" customFormat="false" ht="15" hidden="false" customHeight="true" outlineLevel="0" collapsed="false">
      <c r="A640" s="83" t="n">
        <v>46662</v>
      </c>
    </row>
    <row r="641" customFormat="false" ht="15" hidden="false" customHeight="true" outlineLevel="0" collapsed="false">
      <c r="A641" s="83" t="n">
        <v>46663</v>
      </c>
    </row>
    <row r="642" customFormat="false" ht="15" hidden="false" customHeight="true" outlineLevel="0" collapsed="false">
      <c r="A642" s="83" t="n">
        <v>46664</v>
      </c>
    </row>
    <row r="643" customFormat="false" ht="15" hidden="false" customHeight="true" outlineLevel="0" collapsed="false">
      <c r="A643" s="83" t="n">
        <v>46665</v>
      </c>
    </row>
    <row r="644" customFormat="false" ht="15" hidden="false" customHeight="true" outlineLevel="0" collapsed="false">
      <c r="A644" s="83" t="n">
        <v>46666</v>
      </c>
    </row>
    <row r="645" customFormat="false" ht="15" hidden="false" customHeight="true" outlineLevel="0" collapsed="false">
      <c r="A645" s="83" t="n">
        <v>46667</v>
      </c>
    </row>
    <row r="646" customFormat="false" ht="15" hidden="false" customHeight="true" outlineLevel="0" collapsed="false">
      <c r="A646" s="83" t="n">
        <v>46668</v>
      </c>
    </row>
    <row r="647" customFormat="false" ht="15" hidden="false" customHeight="true" outlineLevel="0" collapsed="false">
      <c r="A647" s="83" t="n">
        <v>46669</v>
      </c>
    </row>
    <row r="648" customFormat="false" ht="15" hidden="false" customHeight="true" outlineLevel="0" collapsed="false">
      <c r="A648" s="83" t="n">
        <v>46670</v>
      </c>
    </row>
    <row r="649" customFormat="false" ht="15" hidden="false" customHeight="true" outlineLevel="0" collapsed="false">
      <c r="A649" s="83" t="n">
        <v>46671</v>
      </c>
    </row>
    <row r="650" customFormat="false" ht="15" hidden="false" customHeight="true" outlineLevel="0" collapsed="false">
      <c r="A650" s="83" t="n">
        <v>46672</v>
      </c>
    </row>
    <row r="651" customFormat="false" ht="15" hidden="false" customHeight="true" outlineLevel="0" collapsed="false">
      <c r="A651" s="83" t="n">
        <v>46673</v>
      </c>
    </row>
    <row r="652" customFormat="false" ht="15" hidden="false" customHeight="true" outlineLevel="0" collapsed="false">
      <c r="A652" s="83" t="n">
        <v>46674</v>
      </c>
    </row>
    <row r="653" customFormat="false" ht="15" hidden="false" customHeight="true" outlineLevel="0" collapsed="false">
      <c r="A653" s="83" t="n">
        <v>46675</v>
      </c>
    </row>
    <row r="654" customFormat="false" ht="15" hidden="false" customHeight="true" outlineLevel="0" collapsed="false">
      <c r="A654" s="83" t="n">
        <v>46676</v>
      </c>
    </row>
    <row r="655" customFormat="false" ht="15" hidden="false" customHeight="true" outlineLevel="0" collapsed="false">
      <c r="A655" s="83" t="n">
        <v>46677</v>
      </c>
    </row>
    <row r="656" customFormat="false" ht="15" hidden="false" customHeight="true" outlineLevel="0" collapsed="false">
      <c r="A656" s="83" t="n">
        <v>46678</v>
      </c>
    </row>
    <row r="657" customFormat="false" ht="15" hidden="false" customHeight="true" outlineLevel="0" collapsed="false">
      <c r="A657" s="83" t="n">
        <v>46679</v>
      </c>
    </row>
    <row r="658" customFormat="false" ht="15" hidden="false" customHeight="true" outlineLevel="0" collapsed="false">
      <c r="A658" s="83" t="n">
        <v>46680</v>
      </c>
    </row>
    <row r="659" customFormat="false" ht="15" hidden="false" customHeight="true" outlineLevel="0" collapsed="false">
      <c r="A659" s="83" t="n">
        <v>46681</v>
      </c>
    </row>
    <row r="660" customFormat="false" ht="15" hidden="false" customHeight="true" outlineLevel="0" collapsed="false">
      <c r="A660" s="83" t="n">
        <v>46682</v>
      </c>
    </row>
    <row r="661" customFormat="false" ht="15" hidden="false" customHeight="true" outlineLevel="0" collapsed="false">
      <c r="A661" s="83" t="n">
        <v>46683</v>
      </c>
    </row>
    <row r="662" customFormat="false" ht="15" hidden="false" customHeight="true" outlineLevel="0" collapsed="false">
      <c r="A662" s="83" t="n">
        <v>46684</v>
      </c>
    </row>
    <row r="663" customFormat="false" ht="15" hidden="false" customHeight="true" outlineLevel="0" collapsed="false">
      <c r="A663" s="83" t="n">
        <v>46685</v>
      </c>
    </row>
    <row r="664" customFormat="false" ht="15" hidden="false" customHeight="true" outlineLevel="0" collapsed="false">
      <c r="A664" s="83" t="n">
        <v>46686</v>
      </c>
    </row>
    <row r="665" customFormat="false" ht="15" hidden="false" customHeight="true" outlineLevel="0" collapsed="false">
      <c r="A665" s="83" t="n">
        <v>46687</v>
      </c>
    </row>
    <row r="666" customFormat="false" ht="15" hidden="false" customHeight="true" outlineLevel="0" collapsed="false">
      <c r="A666" s="83" t="n">
        <v>46688</v>
      </c>
    </row>
    <row r="667" customFormat="false" ht="15" hidden="false" customHeight="true" outlineLevel="0" collapsed="false">
      <c r="A667" s="83" t="n">
        <v>46689</v>
      </c>
    </row>
    <row r="668" customFormat="false" ht="15" hidden="false" customHeight="true" outlineLevel="0" collapsed="false">
      <c r="A668" s="83" t="n">
        <v>46690</v>
      </c>
    </row>
    <row r="669" customFormat="false" ht="15" hidden="false" customHeight="true" outlineLevel="0" collapsed="false">
      <c r="A669" s="83" t="n">
        <v>46691</v>
      </c>
    </row>
    <row r="670" customFormat="false" ht="15" hidden="false" customHeight="true" outlineLevel="0" collapsed="false">
      <c r="A670" s="83" t="n">
        <v>46692</v>
      </c>
    </row>
    <row r="671" customFormat="false" ht="15" hidden="false" customHeight="true" outlineLevel="0" collapsed="false">
      <c r="A671" s="83" t="n">
        <v>46693</v>
      </c>
    </row>
    <row r="672" customFormat="false" ht="15" hidden="false" customHeight="true" outlineLevel="0" collapsed="false">
      <c r="A672" s="83" t="n">
        <v>46694</v>
      </c>
    </row>
    <row r="673" customFormat="false" ht="15" hidden="false" customHeight="true" outlineLevel="0" collapsed="false">
      <c r="A673" s="83" t="n">
        <v>46695</v>
      </c>
    </row>
    <row r="674" customFormat="false" ht="15" hidden="false" customHeight="true" outlineLevel="0" collapsed="false">
      <c r="A674" s="83" t="n">
        <v>46696</v>
      </c>
    </row>
    <row r="675" customFormat="false" ht="15" hidden="false" customHeight="true" outlineLevel="0" collapsed="false">
      <c r="A675" s="83" t="n">
        <v>46697</v>
      </c>
    </row>
    <row r="676" customFormat="false" ht="15" hidden="false" customHeight="true" outlineLevel="0" collapsed="false">
      <c r="A676" s="83" t="n">
        <v>46698</v>
      </c>
    </row>
    <row r="677" customFormat="false" ht="15" hidden="false" customHeight="true" outlineLevel="0" collapsed="false">
      <c r="A677" s="83" t="n">
        <v>46699</v>
      </c>
    </row>
    <row r="678" customFormat="false" ht="15" hidden="false" customHeight="true" outlineLevel="0" collapsed="false">
      <c r="A678" s="83" t="n">
        <v>46700</v>
      </c>
    </row>
    <row r="679" customFormat="false" ht="15" hidden="false" customHeight="true" outlineLevel="0" collapsed="false">
      <c r="A679" s="83" t="n">
        <v>46701</v>
      </c>
    </row>
    <row r="680" customFormat="false" ht="15" hidden="false" customHeight="true" outlineLevel="0" collapsed="false">
      <c r="A680" s="83" t="n">
        <v>46702</v>
      </c>
    </row>
    <row r="681" customFormat="false" ht="15" hidden="false" customHeight="true" outlineLevel="0" collapsed="false">
      <c r="A681" s="83" t="n">
        <v>46703</v>
      </c>
    </row>
    <row r="682" customFormat="false" ht="15" hidden="false" customHeight="true" outlineLevel="0" collapsed="false">
      <c r="A682" s="83" t="n">
        <v>46704</v>
      </c>
    </row>
    <row r="683" customFormat="false" ht="15" hidden="false" customHeight="true" outlineLevel="0" collapsed="false">
      <c r="A683" s="83" t="n">
        <v>46705</v>
      </c>
    </row>
    <row r="684" customFormat="false" ht="15" hidden="false" customHeight="true" outlineLevel="0" collapsed="false">
      <c r="A684" s="83" t="n">
        <v>46706</v>
      </c>
    </row>
    <row r="685" customFormat="false" ht="15" hidden="false" customHeight="true" outlineLevel="0" collapsed="false">
      <c r="A685" s="83" t="n">
        <v>46707</v>
      </c>
    </row>
    <row r="686" customFormat="false" ht="15" hidden="false" customHeight="true" outlineLevel="0" collapsed="false">
      <c r="A686" s="83" t="n">
        <v>46708</v>
      </c>
    </row>
    <row r="687" customFormat="false" ht="15" hidden="false" customHeight="true" outlineLevel="0" collapsed="false">
      <c r="A687" s="83" t="n">
        <v>46709</v>
      </c>
    </row>
    <row r="688" customFormat="false" ht="15" hidden="false" customHeight="true" outlineLevel="0" collapsed="false">
      <c r="A688" s="83" t="n">
        <v>46710</v>
      </c>
    </row>
    <row r="689" customFormat="false" ht="15" hidden="false" customHeight="true" outlineLevel="0" collapsed="false">
      <c r="A689" s="83" t="n">
        <v>46711</v>
      </c>
    </row>
    <row r="690" customFormat="false" ht="15" hidden="false" customHeight="true" outlineLevel="0" collapsed="false">
      <c r="A690" s="83" t="n">
        <v>46712</v>
      </c>
    </row>
    <row r="691" customFormat="false" ht="15" hidden="false" customHeight="true" outlineLevel="0" collapsed="false">
      <c r="A691" s="83" t="n">
        <v>46713</v>
      </c>
    </row>
    <row r="692" customFormat="false" ht="15" hidden="false" customHeight="true" outlineLevel="0" collapsed="false">
      <c r="A692" s="83" t="n">
        <v>46714</v>
      </c>
    </row>
    <row r="693" customFormat="false" ht="15" hidden="false" customHeight="true" outlineLevel="0" collapsed="false">
      <c r="A693" s="83" t="n">
        <v>46715</v>
      </c>
    </row>
    <row r="694" customFormat="false" ht="15" hidden="false" customHeight="true" outlineLevel="0" collapsed="false">
      <c r="A694" s="83" t="n">
        <v>46716</v>
      </c>
    </row>
    <row r="695" customFormat="false" ht="15" hidden="false" customHeight="true" outlineLevel="0" collapsed="false">
      <c r="A695" s="83" t="n">
        <v>46717</v>
      </c>
    </row>
    <row r="696" customFormat="false" ht="15" hidden="false" customHeight="true" outlineLevel="0" collapsed="false">
      <c r="A696" s="83" t="n">
        <v>46718</v>
      </c>
    </row>
    <row r="697" customFormat="false" ht="15" hidden="false" customHeight="true" outlineLevel="0" collapsed="false">
      <c r="A697" s="83" t="n">
        <v>46719</v>
      </c>
    </row>
    <row r="698" customFormat="false" ht="15" hidden="false" customHeight="true" outlineLevel="0" collapsed="false">
      <c r="A698" s="83" t="n">
        <v>46720</v>
      </c>
    </row>
    <row r="699" customFormat="false" ht="15" hidden="false" customHeight="true" outlineLevel="0" collapsed="false">
      <c r="A699" s="83" t="n">
        <v>46721</v>
      </c>
    </row>
    <row r="700" customFormat="false" ht="15" hidden="false" customHeight="true" outlineLevel="0" collapsed="false">
      <c r="A700" s="83" t="n">
        <v>46722</v>
      </c>
    </row>
    <row r="701" customFormat="false" ht="15" hidden="false" customHeight="true" outlineLevel="0" collapsed="false">
      <c r="A701" s="83" t="n">
        <v>46723</v>
      </c>
    </row>
    <row r="702" customFormat="false" ht="15" hidden="false" customHeight="true" outlineLevel="0" collapsed="false">
      <c r="A702" s="83" t="n">
        <v>46724</v>
      </c>
    </row>
    <row r="703" customFormat="false" ht="15" hidden="false" customHeight="true" outlineLevel="0" collapsed="false">
      <c r="A703" s="83" t="n">
        <v>46725</v>
      </c>
    </row>
    <row r="704" customFormat="false" ht="15" hidden="false" customHeight="true" outlineLevel="0" collapsed="false">
      <c r="A704" s="83" t="n">
        <v>46726</v>
      </c>
    </row>
    <row r="705" customFormat="false" ht="15" hidden="false" customHeight="true" outlineLevel="0" collapsed="false">
      <c r="A705" s="83" t="n">
        <v>46727</v>
      </c>
    </row>
    <row r="706" customFormat="false" ht="15" hidden="false" customHeight="true" outlineLevel="0" collapsed="false">
      <c r="A706" s="83" t="n">
        <v>46728</v>
      </c>
    </row>
    <row r="707" customFormat="false" ht="15" hidden="false" customHeight="true" outlineLevel="0" collapsed="false">
      <c r="A707" s="83" t="n">
        <v>46729</v>
      </c>
    </row>
    <row r="708" customFormat="false" ht="15" hidden="false" customHeight="true" outlineLevel="0" collapsed="false">
      <c r="A708" s="83" t="n">
        <v>46730</v>
      </c>
    </row>
    <row r="709" customFormat="false" ht="15" hidden="false" customHeight="true" outlineLevel="0" collapsed="false">
      <c r="A709" s="83" t="n">
        <v>46731</v>
      </c>
    </row>
    <row r="710" customFormat="false" ht="15" hidden="false" customHeight="true" outlineLevel="0" collapsed="false">
      <c r="A710" s="83" t="n">
        <v>46732</v>
      </c>
    </row>
    <row r="711" customFormat="false" ht="15" hidden="false" customHeight="true" outlineLevel="0" collapsed="false">
      <c r="A711" s="83" t="n">
        <v>46733</v>
      </c>
    </row>
    <row r="712" customFormat="false" ht="15" hidden="false" customHeight="true" outlineLevel="0" collapsed="false">
      <c r="A712" s="83" t="n">
        <v>46734</v>
      </c>
    </row>
    <row r="713" customFormat="false" ht="15" hidden="false" customHeight="true" outlineLevel="0" collapsed="false">
      <c r="A713" s="83" t="n">
        <v>46735</v>
      </c>
    </row>
    <row r="714" customFormat="false" ht="15" hidden="false" customHeight="true" outlineLevel="0" collapsed="false">
      <c r="A714" s="83" t="n">
        <v>46736</v>
      </c>
    </row>
    <row r="715" customFormat="false" ht="15" hidden="false" customHeight="true" outlineLevel="0" collapsed="false">
      <c r="A715" s="83" t="n">
        <v>46737</v>
      </c>
    </row>
    <row r="716" customFormat="false" ht="15" hidden="false" customHeight="true" outlineLevel="0" collapsed="false">
      <c r="A716" s="83" t="n">
        <v>46738</v>
      </c>
    </row>
    <row r="717" customFormat="false" ht="15" hidden="false" customHeight="true" outlineLevel="0" collapsed="false">
      <c r="A717" s="83" t="n">
        <v>46739</v>
      </c>
    </row>
    <row r="718" customFormat="false" ht="15" hidden="false" customHeight="true" outlineLevel="0" collapsed="false">
      <c r="A718" s="83" t="n">
        <v>46740</v>
      </c>
    </row>
    <row r="719" customFormat="false" ht="15" hidden="false" customHeight="true" outlineLevel="0" collapsed="false">
      <c r="A719" s="83" t="n">
        <v>46741</v>
      </c>
    </row>
    <row r="720" customFormat="false" ht="15" hidden="false" customHeight="true" outlineLevel="0" collapsed="false">
      <c r="A720" s="83" t="n">
        <v>46742</v>
      </c>
    </row>
    <row r="721" customFormat="false" ht="15" hidden="false" customHeight="true" outlineLevel="0" collapsed="false">
      <c r="A721" s="83" t="n">
        <v>46743</v>
      </c>
    </row>
    <row r="722" customFormat="false" ht="15" hidden="false" customHeight="true" outlineLevel="0" collapsed="false">
      <c r="A722" s="83" t="n">
        <v>46744</v>
      </c>
    </row>
    <row r="723" customFormat="false" ht="15" hidden="false" customHeight="true" outlineLevel="0" collapsed="false">
      <c r="A723" s="83" t="n">
        <v>46745</v>
      </c>
    </row>
    <row r="724" customFormat="false" ht="15" hidden="false" customHeight="true" outlineLevel="0" collapsed="false">
      <c r="A724" s="83" t="n">
        <v>46746</v>
      </c>
    </row>
    <row r="725" customFormat="false" ht="15" hidden="false" customHeight="true" outlineLevel="0" collapsed="false">
      <c r="A725" s="83" t="n">
        <v>46747</v>
      </c>
    </row>
    <row r="726" customFormat="false" ht="15" hidden="false" customHeight="true" outlineLevel="0" collapsed="false">
      <c r="A726" s="83" t="n">
        <v>46748</v>
      </c>
    </row>
    <row r="727" customFormat="false" ht="15" hidden="false" customHeight="true" outlineLevel="0" collapsed="false">
      <c r="A727" s="83" t="n">
        <v>46749</v>
      </c>
    </row>
    <row r="728" customFormat="false" ht="15" hidden="false" customHeight="true" outlineLevel="0" collapsed="false">
      <c r="A728" s="83" t="n">
        <v>46750</v>
      </c>
    </row>
    <row r="729" customFormat="false" ht="15" hidden="false" customHeight="true" outlineLevel="0" collapsed="false">
      <c r="A729" s="83" t="n">
        <v>46751</v>
      </c>
    </row>
    <row r="730" customFormat="false" ht="15" hidden="false" customHeight="true" outlineLevel="0" collapsed="false">
      <c r="A730" s="83" t="n">
        <v>46752</v>
      </c>
    </row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true" outlineLevel="0" collapsed="false">
      <c r="A1" s="84" t="s">
        <v>9</v>
      </c>
      <c r="B1" s="84" t="s">
        <v>55</v>
      </c>
      <c r="C1" s="84" t="s">
        <v>159</v>
      </c>
      <c r="D1" s="84" t="s">
        <v>93</v>
      </c>
      <c r="E1" s="84" t="s">
        <v>65</v>
      </c>
      <c r="F1" s="84" t="s">
        <v>216</v>
      </c>
      <c r="G1" s="84" t="s">
        <v>217</v>
      </c>
      <c r="H1" s="84" t="s">
        <v>218</v>
      </c>
      <c r="I1" s="84" t="s">
        <v>219</v>
      </c>
    </row>
    <row r="2" customFormat="false" ht="15" hidden="false" customHeight="true" outlineLevel="0" collapsed="false">
      <c r="A2" s="83" t="str">
        <f aca="false">'Prone 50m'!A2</f>
        <v>2026-05-09</v>
      </c>
      <c r="B2" s="1" t="str">
        <f aca="false">'Prone 50m'!C2</f>
        <v>prone_50m</v>
      </c>
      <c r="C2" s="1" t="str">
        <f aca="false">'Prone 50m'!D2</f>
        <v>Arnold Prone</v>
      </c>
      <c r="D2" s="1" t="str">
        <f aca="false">'Prone 50m'!E2</f>
        <v>Modderbee</v>
      </c>
      <c r="E2" s="1" t="str">
        <f aca="false">'Prone 50m'!F2</f>
        <v>open</v>
      </c>
      <c r="F2" s="85" t="n">
        <f aca="false">IF('Prone 50m'!S2="",0,'Prone 50m'!S2)</f>
        <v>600.4</v>
      </c>
      <c r="G2" s="86" t="n">
        <f aca="false">IF('Prone 50m'!T2="",0,'Prone 50m'!T2)</f>
        <v>567</v>
      </c>
      <c r="H2" s="1" t="n">
        <f aca="false">IFERROR(YEAR('Prone 50m'!A2),"")</f>
        <v>2026</v>
      </c>
      <c r="I2" s="1" t="n">
        <f aca="false">IF(AND('Prone 50m'!D2&lt;&gt;"",'Prone 50m'!S2&lt;&gt;""),1,0)</f>
        <v>1</v>
      </c>
    </row>
    <row r="3" customFormat="false" ht="15" hidden="false" customHeight="true" outlineLevel="0" collapsed="false">
      <c r="A3" s="83" t="str">
        <f aca="false">'Prone 50m'!A3</f>
        <v>2026-06-10</v>
      </c>
      <c r="B3" s="1" t="str">
        <f aca="false">'Prone 50m'!C3</f>
        <v>prone_50m</v>
      </c>
      <c r="C3" s="1" t="str">
        <f aca="false">'Prone 50m'!D3</f>
        <v>Jane Member</v>
      </c>
      <c r="D3" s="1" t="str">
        <f aca="false">'Prone 50m'!E3</f>
        <v>SATRF Club</v>
      </c>
      <c r="E3" s="1" t="str">
        <f aca="false">'Prone 50m'!F3</f>
        <v>ladies</v>
      </c>
      <c r="F3" s="85" t="n">
        <f aca="false">IF('Prone 50m'!S3="",0,'Prone 50m'!S3)</f>
        <v>593.3</v>
      </c>
      <c r="G3" s="1" t="n">
        <f aca="false">IF('Prone 50m'!T3="",0,'Prone 50m'!T3)</f>
        <v>0</v>
      </c>
      <c r="H3" s="1" t="n">
        <f aca="false">IFERROR(YEAR('Prone 50m'!A3),"")</f>
        <v>2026</v>
      </c>
      <c r="I3" s="1" t="n">
        <f aca="false">IF(AND('Prone 50m'!D3&lt;&gt;"",'Prone 50m'!S3&lt;&gt;""),1,0)</f>
        <v>1</v>
      </c>
    </row>
    <row r="4" customFormat="false" ht="15" hidden="false" customHeight="true" outlineLevel="0" collapsed="false">
      <c r="A4" s="83" t="n">
        <f aca="false">'Prone 50m'!A4</f>
        <v>0</v>
      </c>
      <c r="B4" s="1" t="n">
        <f aca="false">'Prone 50m'!C4</f>
        <v>0</v>
      </c>
      <c r="C4" s="1" t="n">
        <f aca="false">'Prone 50m'!D4</f>
        <v>0</v>
      </c>
      <c r="D4" s="1" t="str">
        <f aca="false">'Prone 50m'!E4</f>
        <v/>
      </c>
      <c r="E4" s="1" t="str">
        <f aca="false">'Prone 50m'!F4</f>
        <v/>
      </c>
      <c r="F4" s="1" t="n">
        <f aca="false">IF('Prone 50m'!S4="",0,'Prone 50m'!S4)</f>
        <v>0</v>
      </c>
      <c r="G4" s="1" t="n">
        <f aca="false">IF('Prone 50m'!T4="",0,'Prone 50m'!T4)</f>
        <v>0</v>
      </c>
      <c r="H4" s="1" t="n">
        <f aca="false">IFERROR(YEAR('Prone 50m'!A4),"")</f>
        <v>1899</v>
      </c>
      <c r="I4" s="1" t="n">
        <f aca="false">IF(AND('Prone 50m'!D4&lt;&gt;"",'Prone 50m'!S4&lt;&gt;""),1,0)</f>
        <v>0</v>
      </c>
    </row>
    <row r="5" customFormat="false" ht="15" hidden="false" customHeight="true" outlineLevel="0" collapsed="false">
      <c r="A5" s="83" t="n">
        <f aca="false">'Prone 50m'!A5</f>
        <v>0</v>
      </c>
      <c r="B5" s="1" t="n">
        <f aca="false">'Prone 50m'!C5</f>
        <v>0</v>
      </c>
      <c r="C5" s="1" t="n">
        <f aca="false">'Prone 50m'!D5</f>
        <v>0</v>
      </c>
      <c r="D5" s="1" t="str">
        <f aca="false">'Prone 50m'!E5</f>
        <v/>
      </c>
      <c r="E5" s="1" t="str">
        <f aca="false">'Prone 50m'!F5</f>
        <v/>
      </c>
      <c r="F5" s="1" t="n">
        <f aca="false">IF('Prone 50m'!S5="",0,'Prone 50m'!S5)</f>
        <v>0</v>
      </c>
      <c r="G5" s="1" t="n">
        <f aca="false">IF('Prone 50m'!T5="",0,'Prone 50m'!T5)</f>
        <v>0</v>
      </c>
      <c r="H5" s="1" t="n">
        <f aca="false">IFERROR(YEAR('Prone 50m'!A5),"")</f>
        <v>1899</v>
      </c>
      <c r="I5" s="1" t="n">
        <f aca="false">IF(AND('Prone 50m'!D5&lt;&gt;"",'Prone 50m'!S5&lt;&gt;""),1,0)</f>
        <v>0</v>
      </c>
    </row>
    <row r="6" customFormat="false" ht="15" hidden="false" customHeight="true" outlineLevel="0" collapsed="false">
      <c r="A6" s="83" t="n">
        <f aca="false">'Prone 50m'!A6</f>
        <v>0</v>
      </c>
      <c r="B6" s="1" t="n">
        <f aca="false">'Prone 50m'!C6</f>
        <v>0</v>
      </c>
      <c r="C6" s="1" t="n">
        <f aca="false">'Prone 50m'!D6</f>
        <v>0</v>
      </c>
      <c r="D6" s="1" t="str">
        <f aca="false">'Prone 50m'!E6</f>
        <v/>
      </c>
      <c r="E6" s="1" t="str">
        <f aca="false">'Prone 50m'!F6</f>
        <v/>
      </c>
      <c r="F6" s="1" t="n">
        <f aca="false">IF('Prone 50m'!S6="",0,'Prone 50m'!S6)</f>
        <v>0</v>
      </c>
      <c r="G6" s="1" t="n">
        <f aca="false">IF('Prone 50m'!T6="",0,'Prone 50m'!T6)</f>
        <v>0</v>
      </c>
      <c r="H6" s="1" t="n">
        <f aca="false">IFERROR(YEAR('Prone 50m'!A6),"")</f>
        <v>1899</v>
      </c>
      <c r="I6" s="1" t="n">
        <f aca="false">IF(AND('Prone 50m'!D6&lt;&gt;"",'Prone 50m'!S6&lt;&gt;""),1,0)</f>
        <v>0</v>
      </c>
    </row>
    <row r="7" customFormat="false" ht="15" hidden="false" customHeight="true" outlineLevel="0" collapsed="false">
      <c r="A7" s="83" t="n">
        <f aca="false">'Prone 50m'!A7</f>
        <v>0</v>
      </c>
      <c r="B7" s="1" t="n">
        <f aca="false">'Prone 50m'!C7</f>
        <v>0</v>
      </c>
      <c r="C7" s="1" t="n">
        <f aca="false">'Prone 50m'!D7</f>
        <v>0</v>
      </c>
      <c r="D7" s="1" t="str">
        <f aca="false">'Prone 50m'!E7</f>
        <v/>
      </c>
      <c r="E7" s="1" t="str">
        <f aca="false">'Prone 50m'!F7</f>
        <v/>
      </c>
      <c r="F7" s="1" t="n">
        <f aca="false">IF('Prone 50m'!S7="",0,'Prone 50m'!S7)</f>
        <v>0</v>
      </c>
      <c r="G7" s="1" t="n">
        <f aca="false">IF('Prone 50m'!T7="",0,'Prone 50m'!T7)</f>
        <v>0</v>
      </c>
      <c r="H7" s="1" t="n">
        <f aca="false">IFERROR(YEAR('Prone 50m'!A7),"")</f>
        <v>1899</v>
      </c>
      <c r="I7" s="1" t="n">
        <f aca="false">IF(AND('Prone 50m'!D7&lt;&gt;"",'Prone 50m'!S7&lt;&gt;""),1,0)</f>
        <v>0</v>
      </c>
    </row>
    <row r="8" customFormat="false" ht="15" hidden="false" customHeight="true" outlineLevel="0" collapsed="false">
      <c r="A8" s="83" t="n">
        <f aca="false">'Prone 50m'!A8</f>
        <v>0</v>
      </c>
      <c r="B8" s="1" t="n">
        <f aca="false">'Prone 50m'!C8</f>
        <v>0</v>
      </c>
      <c r="C8" s="1" t="n">
        <f aca="false">'Prone 50m'!D8</f>
        <v>0</v>
      </c>
      <c r="D8" s="1" t="str">
        <f aca="false">'Prone 50m'!E8</f>
        <v/>
      </c>
      <c r="E8" s="1" t="str">
        <f aca="false">'Prone 50m'!F8</f>
        <v/>
      </c>
      <c r="F8" s="1" t="n">
        <f aca="false">IF('Prone 50m'!S8="",0,'Prone 50m'!S8)</f>
        <v>0</v>
      </c>
      <c r="G8" s="1" t="n">
        <f aca="false">IF('Prone 50m'!T8="",0,'Prone 50m'!T8)</f>
        <v>0</v>
      </c>
      <c r="H8" s="1" t="n">
        <f aca="false">IFERROR(YEAR('Prone 50m'!A8),"")</f>
        <v>1899</v>
      </c>
      <c r="I8" s="1" t="n">
        <f aca="false">IF(AND('Prone 50m'!D8&lt;&gt;"",'Prone 50m'!S8&lt;&gt;""),1,0)</f>
        <v>0</v>
      </c>
    </row>
    <row r="9" customFormat="false" ht="15" hidden="false" customHeight="true" outlineLevel="0" collapsed="false">
      <c r="A9" s="83" t="n">
        <f aca="false">'Prone 50m'!A9</f>
        <v>0</v>
      </c>
      <c r="B9" s="1" t="n">
        <f aca="false">'Prone 50m'!C9</f>
        <v>0</v>
      </c>
      <c r="C9" s="1" t="n">
        <f aca="false">'Prone 50m'!D9</f>
        <v>0</v>
      </c>
      <c r="D9" s="1" t="str">
        <f aca="false">'Prone 50m'!E9</f>
        <v/>
      </c>
      <c r="E9" s="1" t="str">
        <f aca="false">'Prone 50m'!F9</f>
        <v/>
      </c>
      <c r="F9" s="1" t="n">
        <f aca="false">IF('Prone 50m'!S9="",0,'Prone 50m'!S9)</f>
        <v>0</v>
      </c>
      <c r="G9" s="1" t="n">
        <f aca="false">IF('Prone 50m'!T9="",0,'Prone 50m'!T9)</f>
        <v>0</v>
      </c>
      <c r="H9" s="1" t="n">
        <f aca="false">IFERROR(YEAR('Prone 50m'!A9),"")</f>
        <v>1899</v>
      </c>
      <c r="I9" s="1" t="n">
        <f aca="false">IF(AND('Prone 50m'!D9&lt;&gt;"",'Prone 50m'!S9&lt;&gt;""),1,0)</f>
        <v>0</v>
      </c>
    </row>
    <row r="10" customFormat="false" ht="15" hidden="false" customHeight="true" outlineLevel="0" collapsed="false">
      <c r="A10" s="83" t="n">
        <f aca="false">'Prone 50m'!A10</f>
        <v>0</v>
      </c>
      <c r="B10" s="1" t="n">
        <f aca="false">'Prone 50m'!C10</f>
        <v>0</v>
      </c>
      <c r="C10" s="1" t="n">
        <f aca="false">'Prone 50m'!D10</f>
        <v>0</v>
      </c>
      <c r="D10" s="1" t="str">
        <f aca="false">'Prone 50m'!E10</f>
        <v/>
      </c>
      <c r="E10" s="1" t="str">
        <f aca="false">'Prone 50m'!F10</f>
        <v/>
      </c>
      <c r="F10" s="1" t="n">
        <f aca="false">IF('Prone 50m'!S10="",0,'Prone 50m'!S10)</f>
        <v>0</v>
      </c>
      <c r="G10" s="1" t="n">
        <f aca="false">IF('Prone 50m'!T10="",0,'Prone 50m'!T10)</f>
        <v>0</v>
      </c>
      <c r="H10" s="1" t="n">
        <f aca="false">IFERROR(YEAR('Prone 50m'!A10),"")</f>
        <v>1899</v>
      </c>
      <c r="I10" s="1" t="n">
        <f aca="false">IF(AND('Prone 50m'!D10&lt;&gt;"",'Prone 50m'!S10&lt;&gt;""),1,0)</f>
        <v>0</v>
      </c>
    </row>
    <row r="11" customFormat="false" ht="15" hidden="false" customHeight="true" outlineLevel="0" collapsed="false">
      <c r="A11" s="83" t="n">
        <f aca="false">'Prone 50m'!A11</f>
        <v>0</v>
      </c>
      <c r="B11" s="1" t="n">
        <f aca="false">'Prone 50m'!C11</f>
        <v>0</v>
      </c>
      <c r="C11" s="1" t="n">
        <f aca="false">'Prone 50m'!D11</f>
        <v>0</v>
      </c>
      <c r="D11" s="1" t="str">
        <f aca="false">'Prone 50m'!E11</f>
        <v/>
      </c>
      <c r="E11" s="1" t="str">
        <f aca="false">'Prone 50m'!F11</f>
        <v/>
      </c>
      <c r="F11" s="1" t="n">
        <f aca="false">IF('Prone 50m'!S11="",0,'Prone 50m'!S11)</f>
        <v>0</v>
      </c>
      <c r="G11" s="1" t="n">
        <f aca="false">IF('Prone 50m'!T11="",0,'Prone 50m'!T11)</f>
        <v>0</v>
      </c>
      <c r="H11" s="1" t="n">
        <f aca="false">IFERROR(YEAR('Prone 50m'!A11),"")</f>
        <v>1899</v>
      </c>
      <c r="I11" s="1" t="n">
        <f aca="false">IF(AND('Prone 50m'!D11&lt;&gt;"",'Prone 50m'!S11&lt;&gt;""),1,0)</f>
        <v>0</v>
      </c>
    </row>
    <row r="12" customFormat="false" ht="15" hidden="false" customHeight="true" outlineLevel="0" collapsed="false">
      <c r="A12" s="83" t="n">
        <f aca="false">'Prone 50m'!A12</f>
        <v>0</v>
      </c>
      <c r="B12" s="1" t="n">
        <f aca="false">'Prone 50m'!C12</f>
        <v>0</v>
      </c>
      <c r="C12" s="1" t="n">
        <f aca="false">'Prone 50m'!D12</f>
        <v>0</v>
      </c>
      <c r="D12" s="1" t="str">
        <f aca="false">'Prone 50m'!E12</f>
        <v/>
      </c>
      <c r="E12" s="1" t="str">
        <f aca="false">'Prone 50m'!F12</f>
        <v/>
      </c>
      <c r="F12" s="1" t="n">
        <f aca="false">IF('Prone 50m'!S12="",0,'Prone 50m'!S12)</f>
        <v>0</v>
      </c>
      <c r="G12" s="1" t="n">
        <f aca="false">IF('Prone 50m'!T12="",0,'Prone 50m'!T12)</f>
        <v>0</v>
      </c>
      <c r="H12" s="1" t="n">
        <f aca="false">IFERROR(YEAR('Prone 50m'!A12),"")</f>
        <v>1899</v>
      </c>
      <c r="I12" s="1" t="n">
        <f aca="false">IF(AND('Prone 50m'!D12&lt;&gt;"",'Prone 50m'!S12&lt;&gt;""),1,0)</f>
        <v>0</v>
      </c>
    </row>
    <row r="13" customFormat="false" ht="15" hidden="false" customHeight="true" outlineLevel="0" collapsed="false">
      <c r="A13" s="83" t="n">
        <f aca="false">'Prone 50m'!A13</f>
        <v>0</v>
      </c>
      <c r="B13" s="1" t="n">
        <f aca="false">'Prone 50m'!C13</f>
        <v>0</v>
      </c>
      <c r="C13" s="1" t="n">
        <f aca="false">'Prone 50m'!D13</f>
        <v>0</v>
      </c>
      <c r="D13" s="1" t="str">
        <f aca="false">'Prone 50m'!E13</f>
        <v/>
      </c>
      <c r="E13" s="1" t="str">
        <f aca="false">'Prone 50m'!F13</f>
        <v/>
      </c>
      <c r="F13" s="1" t="n">
        <f aca="false">IF('Prone 50m'!S13="",0,'Prone 50m'!S13)</f>
        <v>0</v>
      </c>
      <c r="G13" s="1" t="n">
        <f aca="false">IF('Prone 50m'!T13="",0,'Prone 50m'!T13)</f>
        <v>0</v>
      </c>
      <c r="H13" s="1" t="n">
        <f aca="false">IFERROR(YEAR('Prone 50m'!A13),"")</f>
        <v>1899</v>
      </c>
      <c r="I13" s="1" t="n">
        <f aca="false">IF(AND('Prone 50m'!D13&lt;&gt;"",'Prone 50m'!S13&lt;&gt;""),1,0)</f>
        <v>0</v>
      </c>
    </row>
    <row r="14" customFormat="false" ht="15" hidden="false" customHeight="true" outlineLevel="0" collapsed="false">
      <c r="A14" s="83" t="n">
        <f aca="false">'Prone 50m'!A14</f>
        <v>0</v>
      </c>
      <c r="B14" s="1" t="n">
        <f aca="false">'Prone 50m'!C14</f>
        <v>0</v>
      </c>
      <c r="C14" s="1" t="n">
        <f aca="false">'Prone 50m'!D14</f>
        <v>0</v>
      </c>
      <c r="D14" s="1" t="str">
        <f aca="false">'Prone 50m'!E14</f>
        <v/>
      </c>
      <c r="E14" s="1" t="str">
        <f aca="false">'Prone 50m'!F14</f>
        <v/>
      </c>
      <c r="F14" s="1" t="n">
        <f aca="false">IF('Prone 50m'!S14="",0,'Prone 50m'!S14)</f>
        <v>0</v>
      </c>
      <c r="G14" s="1" t="n">
        <f aca="false">IF('Prone 50m'!T14="",0,'Prone 50m'!T14)</f>
        <v>0</v>
      </c>
      <c r="H14" s="1" t="n">
        <f aca="false">IFERROR(YEAR('Prone 50m'!A14),"")</f>
        <v>1899</v>
      </c>
      <c r="I14" s="1" t="n">
        <f aca="false">IF(AND('Prone 50m'!D14&lt;&gt;"",'Prone 50m'!S14&lt;&gt;""),1,0)</f>
        <v>0</v>
      </c>
    </row>
    <row r="15" customFormat="false" ht="15" hidden="false" customHeight="true" outlineLevel="0" collapsed="false">
      <c r="A15" s="83" t="n">
        <f aca="false">'Prone 50m'!A15</f>
        <v>0</v>
      </c>
      <c r="B15" s="1" t="n">
        <f aca="false">'Prone 50m'!C15</f>
        <v>0</v>
      </c>
      <c r="C15" s="1" t="n">
        <f aca="false">'Prone 50m'!D15</f>
        <v>0</v>
      </c>
      <c r="D15" s="1" t="str">
        <f aca="false">'Prone 50m'!E15</f>
        <v/>
      </c>
      <c r="E15" s="1" t="str">
        <f aca="false">'Prone 50m'!F15</f>
        <v/>
      </c>
      <c r="F15" s="1" t="n">
        <f aca="false">IF('Prone 50m'!S15="",0,'Prone 50m'!S15)</f>
        <v>0</v>
      </c>
      <c r="G15" s="1" t="n">
        <f aca="false">IF('Prone 50m'!T15="",0,'Prone 50m'!T15)</f>
        <v>0</v>
      </c>
      <c r="H15" s="1" t="n">
        <f aca="false">IFERROR(YEAR('Prone 50m'!A15),"")</f>
        <v>1899</v>
      </c>
      <c r="I15" s="1" t="n">
        <f aca="false">IF(AND('Prone 50m'!D15&lt;&gt;"",'Prone 50m'!S15&lt;&gt;""),1,0)</f>
        <v>0</v>
      </c>
    </row>
    <row r="16" customFormat="false" ht="15" hidden="false" customHeight="true" outlineLevel="0" collapsed="false">
      <c r="A16" s="83" t="n">
        <f aca="false">'Prone 50m'!A16</f>
        <v>0</v>
      </c>
      <c r="B16" s="1" t="n">
        <f aca="false">'Prone 50m'!C16</f>
        <v>0</v>
      </c>
      <c r="C16" s="1" t="n">
        <f aca="false">'Prone 50m'!D16</f>
        <v>0</v>
      </c>
      <c r="D16" s="1" t="str">
        <f aca="false">'Prone 50m'!E16</f>
        <v/>
      </c>
      <c r="E16" s="1" t="str">
        <f aca="false">'Prone 50m'!F16</f>
        <v/>
      </c>
      <c r="F16" s="1" t="n">
        <f aca="false">IF('Prone 50m'!S16="",0,'Prone 50m'!S16)</f>
        <v>0</v>
      </c>
      <c r="G16" s="1" t="n">
        <f aca="false">IF('Prone 50m'!T16="",0,'Prone 50m'!T16)</f>
        <v>0</v>
      </c>
      <c r="H16" s="1" t="n">
        <f aca="false">IFERROR(YEAR('Prone 50m'!A16),"")</f>
        <v>1899</v>
      </c>
      <c r="I16" s="1" t="n">
        <f aca="false">IF(AND('Prone 50m'!D16&lt;&gt;"",'Prone 50m'!S16&lt;&gt;""),1,0)</f>
        <v>0</v>
      </c>
    </row>
    <row r="17" customFormat="false" ht="15" hidden="false" customHeight="true" outlineLevel="0" collapsed="false">
      <c r="A17" s="83" t="n">
        <f aca="false">'Prone 50m'!A17</f>
        <v>0</v>
      </c>
      <c r="B17" s="1" t="n">
        <f aca="false">'Prone 50m'!C17</f>
        <v>0</v>
      </c>
      <c r="C17" s="1" t="n">
        <f aca="false">'Prone 50m'!D17</f>
        <v>0</v>
      </c>
      <c r="D17" s="1" t="str">
        <f aca="false">'Prone 50m'!E17</f>
        <v/>
      </c>
      <c r="E17" s="1" t="str">
        <f aca="false">'Prone 50m'!F17</f>
        <v/>
      </c>
      <c r="F17" s="1" t="n">
        <f aca="false">IF('Prone 50m'!S17="",0,'Prone 50m'!S17)</f>
        <v>0</v>
      </c>
      <c r="G17" s="1" t="n">
        <f aca="false">IF('Prone 50m'!T17="",0,'Prone 50m'!T17)</f>
        <v>0</v>
      </c>
      <c r="H17" s="1" t="n">
        <f aca="false">IFERROR(YEAR('Prone 50m'!A17),"")</f>
        <v>1899</v>
      </c>
      <c r="I17" s="1" t="n">
        <f aca="false">IF(AND('Prone 50m'!D17&lt;&gt;"",'Prone 50m'!S17&lt;&gt;""),1,0)</f>
        <v>0</v>
      </c>
    </row>
    <row r="18" customFormat="false" ht="15" hidden="false" customHeight="true" outlineLevel="0" collapsed="false">
      <c r="A18" s="83" t="n">
        <f aca="false">'Prone 50m'!A18</f>
        <v>0</v>
      </c>
      <c r="B18" s="1" t="n">
        <f aca="false">'Prone 50m'!C18</f>
        <v>0</v>
      </c>
      <c r="C18" s="1" t="n">
        <f aca="false">'Prone 50m'!D18</f>
        <v>0</v>
      </c>
      <c r="D18" s="1" t="str">
        <f aca="false">'Prone 50m'!E18</f>
        <v/>
      </c>
      <c r="E18" s="1" t="str">
        <f aca="false">'Prone 50m'!F18</f>
        <v/>
      </c>
      <c r="F18" s="1" t="n">
        <f aca="false">IF('Prone 50m'!S18="",0,'Prone 50m'!S18)</f>
        <v>0</v>
      </c>
      <c r="G18" s="1" t="n">
        <f aca="false">IF('Prone 50m'!T18="",0,'Prone 50m'!T18)</f>
        <v>0</v>
      </c>
      <c r="H18" s="1" t="n">
        <f aca="false">IFERROR(YEAR('Prone 50m'!A18),"")</f>
        <v>1899</v>
      </c>
      <c r="I18" s="1" t="n">
        <f aca="false">IF(AND('Prone 50m'!D18&lt;&gt;"",'Prone 50m'!S18&lt;&gt;""),1,0)</f>
        <v>0</v>
      </c>
    </row>
    <row r="19" customFormat="false" ht="15" hidden="false" customHeight="true" outlineLevel="0" collapsed="false">
      <c r="A19" s="83" t="n">
        <f aca="false">'Prone 50m'!A19</f>
        <v>0</v>
      </c>
      <c r="B19" s="1" t="n">
        <f aca="false">'Prone 50m'!C19</f>
        <v>0</v>
      </c>
      <c r="C19" s="1" t="n">
        <f aca="false">'Prone 50m'!D19</f>
        <v>0</v>
      </c>
      <c r="D19" s="1" t="str">
        <f aca="false">'Prone 50m'!E19</f>
        <v/>
      </c>
      <c r="E19" s="1" t="str">
        <f aca="false">'Prone 50m'!F19</f>
        <v/>
      </c>
      <c r="F19" s="1" t="n">
        <f aca="false">IF('Prone 50m'!S19="",0,'Prone 50m'!S19)</f>
        <v>0</v>
      </c>
      <c r="G19" s="1" t="n">
        <f aca="false">IF('Prone 50m'!T19="",0,'Prone 50m'!T19)</f>
        <v>0</v>
      </c>
      <c r="H19" s="1" t="n">
        <f aca="false">IFERROR(YEAR('Prone 50m'!A19),"")</f>
        <v>1899</v>
      </c>
      <c r="I19" s="1" t="n">
        <f aca="false">IF(AND('Prone 50m'!D19&lt;&gt;"",'Prone 50m'!S19&lt;&gt;""),1,0)</f>
        <v>0</v>
      </c>
    </row>
    <row r="20" customFormat="false" ht="15" hidden="false" customHeight="true" outlineLevel="0" collapsed="false">
      <c r="A20" s="83" t="n">
        <f aca="false">'Prone 50m'!A20</f>
        <v>0</v>
      </c>
      <c r="B20" s="1" t="n">
        <f aca="false">'Prone 50m'!C20</f>
        <v>0</v>
      </c>
      <c r="C20" s="1" t="n">
        <f aca="false">'Prone 50m'!D20</f>
        <v>0</v>
      </c>
      <c r="D20" s="1" t="str">
        <f aca="false">'Prone 50m'!E20</f>
        <v/>
      </c>
      <c r="E20" s="1" t="str">
        <f aca="false">'Prone 50m'!F20</f>
        <v/>
      </c>
      <c r="F20" s="1" t="n">
        <f aca="false">IF('Prone 50m'!S20="",0,'Prone 50m'!S20)</f>
        <v>0</v>
      </c>
      <c r="G20" s="1" t="n">
        <f aca="false">IF('Prone 50m'!T20="",0,'Prone 50m'!T20)</f>
        <v>0</v>
      </c>
      <c r="H20" s="1" t="n">
        <f aca="false">IFERROR(YEAR('Prone 50m'!A20),"")</f>
        <v>1899</v>
      </c>
      <c r="I20" s="1" t="n">
        <f aca="false">IF(AND('Prone 50m'!D20&lt;&gt;"",'Prone 50m'!S20&lt;&gt;""),1,0)</f>
        <v>0</v>
      </c>
    </row>
    <row r="21" customFormat="false" ht="15" hidden="false" customHeight="true" outlineLevel="0" collapsed="false">
      <c r="A21" s="83" t="n">
        <f aca="false">'Prone 50m'!A21</f>
        <v>0</v>
      </c>
      <c r="B21" s="1" t="n">
        <f aca="false">'Prone 50m'!C21</f>
        <v>0</v>
      </c>
      <c r="C21" s="1" t="n">
        <f aca="false">'Prone 50m'!D21</f>
        <v>0</v>
      </c>
      <c r="D21" s="1" t="str">
        <f aca="false">'Prone 50m'!E21</f>
        <v/>
      </c>
      <c r="E21" s="1" t="str">
        <f aca="false">'Prone 50m'!F21</f>
        <v/>
      </c>
      <c r="F21" s="1" t="n">
        <f aca="false">IF('Prone 50m'!S21="",0,'Prone 50m'!S21)</f>
        <v>0</v>
      </c>
      <c r="G21" s="1" t="n">
        <f aca="false">IF('Prone 50m'!T21="",0,'Prone 50m'!T21)</f>
        <v>0</v>
      </c>
      <c r="H21" s="1" t="n">
        <f aca="false">IFERROR(YEAR('Prone 50m'!A21),"")</f>
        <v>1899</v>
      </c>
      <c r="I21" s="1" t="n">
        <f aca="false">IF(AND('Prone 50m'!D21&lt;&gt;"",'Prone 50m'!S21&lt;&gt;""),1,0)</f>
        <v>0</v>
      </c>
    </row>
    <row r="22" customFormat="false" ht="15" hidden="false" customHeight="true" outlineLevel="0" collapsed="false">
      <c r="A22" s="83" t="n">
        <f aca="false">'Prone 50m'!A22</f>
        <v>0</v>
      </c>
      <c r="B22" s="1" t="n">
        <f aca="false">'Prone 50m'!C22</f>
        <v>0</v>
      </c>
      <c r="C22" s="1" t="n">
        <f aca="false">'Prone 50m'!D22</f>
        <v>0</v>
      </c>
      <c r="D22" s="1" t="str">
        <f aca="false">'Prone 50m'!E22</f>
        <v/>
      </c>
      <c r="E22" s="1" t="str">
        <f aca="false">'Prone 50m'!F22</f>
        <v/>
      </c>
      <c r="F22" s="1" t="n">
        <f aca="false">IF('Prone 50m'!S22="",0,'Prone 50m'!S22)</f>
        <v>0</v>
      </c>
      <c r="G22" s="1" t="n">
        <f aca="false">IF('Prone 50m'!T22="",0,'Prone 50m'!T22)</f>
        <v>0</v>
      </c>
      <c r="H22" s="1" t="n">
        <f aca="false">IFERROR(YEAR('Prone 50m'!A22),"")</f>
        <v>1899</v>
      </c>
      <c r="I22" s="1" t="n">
        <f aca="false">IF(AND('Prone 50m'!D22&lt;&gt;"",'Prone 50m'!S22&lt;&gt;""),1,0)</f>
        <v>0</v>
      </c>
    </row>
    <row r="23" customFormat="false" ht="15" hidden="false" customHeight="true" outlineLevel="0" collapsed="false">
      <c r="A23" s="83" t="n">
        <f aca="false">'Prone 50m'!A23</f>
        <v>0</v>
      </c>
      <c r="B23" s="1" t="n">
        <f aca="false">'Prone 50m'!C23</f>
        <v>0</v>
      </c>
      <c r="C23" s="1" t="n">
        <f aca="false">'Prone 50m'!D23</f>
        <v>0</v>
      </c>
      <c r="D23" s="1" t="str">
        <f aca="false">'Prone 50m'!E23</f>
        <v/>
      </c>
      <c r="E23" s="1" t="str">
        <f aca="false">'Prone 50m'!F23</f>
        <v/>
      </c>
      <c r="F23" s="1" t="n">
        <f aca="false">IF('Prone 50m'!S23="",0,'Prone 50m'!S23)</f>
        <v>0</v>
      </c>
      <c r="G23" s="1" t="n">
        <f aca="false">IF('Prone 50m'!T23="",0,'Prone 50m'!T23)</f>
        <v>0</v>
      </c>
      <c r="H23" s="1" t="n">
        <f aca="false">IFERROR(YEAR('Prone 50m'!A23),"")</f>
        <v>1899</v>
      </c>
      <c r="I23" s="1" t="n">
        <f aca="false">IF(AND('Prone 50m'!D23&lt;&gt;"",'Prone 50m'!S23&lt;&gt;""),1,0)</f>
        <v>0</v>
      </c>
    </row>
    <row r="24" customFormat="false" ht="15" hidden="false" customHeight="true" outlineLevel="0" collapsed="false">
      <c r="A24" s="83" t="n">
        <f aca="false">'Prone 50m'!A24</f>
        <v>0</v>
      </c>
      <c r="B24" s="1" t="n">
        <f aca="false">'Prone 50m'!C24</f>
        <v>0</v>
      </c>
      <c r="C24" s="1" t="n">
        <f aca="false">'Prone 50m'!D24</f>
        <v>0</v>
      </c>
      <c r="D24" s="1" t="str">
        <f aca="false">'Prone 50m'!E24</f>
        <v/>
      </c>
      <c r="E24" s="1" t="str">
        <f aca="false">'Prone 50m'!F24</f>
        <v/>
      </c>
      <c r="F24" s="1" t="n">
        <f aca="false">IF('Prone 50m'!S24="",0,'Prone 50m'!S24)</f>
        <v>0</v>
      </c>
      <c r="G24" s="1" t="n">
        <f aca="false">IF('Prone 50m'!T24="",0,'Prone 50m'!T24)</f>
        <v>0</v>
      </c>
      <c r="H24" s="1" t="n">
        <f aca="false">IFERROR(YEAR('Prone 50m'!A24),"")</f>
        <v>1899</v>
      </c>
      <c r="I24" s="1" t="n">
        <f aca="false">IF(AND('Prone 50m'!D24&lt;&gt;"",'Prone 50m'!S24&lt;&gt;""),1,0)</f>
        <v>0</v>
      </c>
    </row>
    <row r="25" customFormat="false" ht="15" hidden="false" customHeight="true" outlineLevel="0" collapsed="false">
      <c r="A25" s="83" t="n">
        <f aca="false">'Prone 50m'!A25</f>
        <v>0</v>
      </c>
      <c r="B25" s="1" t="n">
        <f aca="false">'Prone 50m'!C25</f>
        <v>0</v>
      </c>
      <c r="C25" s="1" t="n">
        <f aca="false">'Prone 50m'!D25</f>
        <v>0</v>
      </c>
      <c r="D25" s="1" t="str">
        <f aca="false">'Prone 50m'!E25</f>
        <v/>
      </c>
      <c r="E25" s="1" t="str">
        <f aca="false">'Prone 50m'!F25</f>
        <v/>
      </c>
      <c r="F25" s="1" t="n">
        <f aca="false">IF('Prone 50m'!S25="",0,'Prone 50m'!S25)</f>
        <v>0</v>
      </c>
      <c r="G25" s="1" t="n">
        <f aca="false">IF('Prone 50m'!T25="",0,'Prone 50m'!T25)</f>
        <v>0</v>
      </c>
      <c r="H25" s="1" t="n">
        <f aca="false">IFERROR(YEAR('Prone 50m'!A25),"")</f>
        <v>1899</v>
      </c>
      <c r="I25" s="1" t="n">
        <f aca="false">IF(AND('Prone 50m'!D25&lt;&gt;"",'Prone 50m'!S25&lt;&gt;""),1,0)</f>
        <v>0</v>
      </c>
    </row>
    <row r="26" customFormat="false" ht="15" hidden="false" customHeight="true" outlineLevel="0" collapsed="false">
      <c r="A26" s="83" t="n">
        <f aca="false">'Prone 50m'!A26</f>
        <v>0</v>
      </c>
      <c r="B26" s="1" t="n">
        <f aca="false">'Prone 50m'!C26</f>
        <v>0</v>
      </c>
      <c r="C26" s="1" t="n">
        <f aca="false">'Prone 50m'!D26</f>
        <v>0</v>
      </c>
      <c r="D26" s="1" t="str">
        <f aca="false">'Prone 50m'!E26</f>
        <v/>
      </c>
      <c r="E26" s="1" t="str">
        <f aca="false">'Prone 50m'!F26</f>
        <v/>
      </c>
      <c r="F26" s="1" t="n">
        <f aca="false">IF('Prone 50m'!S26="",0,'Prone 50m'!S26)</f>
        <v>0</v>
      </c>
      <c r="G26" s="1" t="n">
        <f aca="false">IF('Prone 50m'!T26="",0,'Prone 50m'!T26)</f>
        <v>0</v>
      </c>
      <c r="H26" s="1" t="n">
        <f aca="false">IFERROR(YEAR('Prone 50m'!A26),"")</f>
        <v>1899</v>
      </c>
      <c r="I26" s="1" t="n">
        <f aca="false">IF(AND('Prone 50m'!D26&lt;&gt;"",'Prone 50m'!S26&lt;&gt;""),1,0)</f>
        <v>0</v>
      </c>
    </row>
    <row r="27" customFormat="false" ht="15" hidden="false" customHeight="true" outlineLevel="0" collapsed="false">
      <c r="A27" s="83" t="n">
        <f aca="false">'Prone 50m'!A27</f>
        <v>0</v>
      </c>
      <c r="B27" s="1" t="n">
        <f aca="false">'Prone 50m'!C27</f>
        <v>0</v>
      </c>
      <c r="C27" s="1" t="n">
        <f aca="false">'Prone 50m'!D27</f>
        <v>0</v>
      </c>
      <c r="D27" s="1" t="str">
        <f aca="false">'Prone 50m'!E27</f>
        <v/>
      </c>
      <c r="E27" s="1" t="str">
        <f aca="false">'Prone 50m'!F27</f>
        <v/>
      </c>
      <c r="F27" s="1" t="n">
        <f aca="false">IF('Prone 50m'!S27="",0,'Prone 50m'!S27)</f>
        <v>0</v>
      </c>
      <c r="G27" s="1" t="n">
        <f aca="false">IF('Prone 50m'!T27="",0,'Prone 50m'!T27)</f>
        <v>0</v>
      </c>
      <c r="H27" s="1" t="n">
        <f aca="false">IFERROR(YEAR('Prone 50m'!A27),"")</f>
        <v>1899</v>
      </c>
      <c r="I27" s="1" t="n">
        <f aca="false">IF(AND('Prone 50m'!D27&lt;&gt;"",'Prone 50m'!S27&lt;&gt;""),1,0)</f>
        <v>0</v>
      </c>
    </row>
    <row r="28" customFormat="false" ht="15" hidden="false" customHeight="true" outlineLevel="0" collapsed="false">
      <c r="A28" s="83" t="n">
        <f aca="false">'Prone 50m'!A28</f>
        <v>0</v>
      </c>
      <c r="B28" s="1" t="n">
        <f aca="false">'Prone 50m'!C28</f>
        <v>0</v>
      </c>
      <c r="C28" s="1" t="n">
        <f aca="false">'Prone 50m'!D28</f>
        <v>0</v>
      </c>
      <c r="D28" s="1" t="str">
        <f aca="false">'Prone 50m'!E28</f>
        <v/>
      </c>
      <c r="E28" s="1" t="str">
        <f aca="false">'Prone 50m'!F28</f>
        <v/>
      </c>
      <c r="F28" s="1" t="n">
        <f aca="false">IF('Prone 50m'!S28="",0,'Prone 50m'!S28)</f>
        <v>0</v>
      </c>
      <c r="G28" s="1" t="n">
        <f aca="false">IF('Prone 50m'!T28="",0,'Prone 50m'!T28)</f>
        <v>0</v>
      </c>
      <c r="H28" s="1" t="n">
        <f aca="false">IFERROR(YEAR('Prone 50m'!A28),"")</f>
        <v>1899</v>
      </c>
      <c r="I28" s="1" t="n">
        <f aca="false">IF(AND('Prone 50m'!D28&lt;&gt;"",'Prone 50m'!S28&lt;&gt;""),1,0)</f>
        <v>0</v>
      </c>
    </row>
    <row r="29" customFormat="false" ht="15" hidden="false" customHeight="true" outlineLevel="0" collapsed="false">
      <c r="A29" s="83" t="n">
        <f aca="false">'Prone 50m'!A29</f>
        <v>0</v>
      </c>
      <c r="B29" s="1" t="n">
        <f aca="false">'Prone 50m'!C29</f>
        <v>0</v>
      </c>
      <c r="C29" s="1" t="n">
        <f aca="false">'Prone 50m'!D29</f>
        <v>0</v>
      </c>
      <c r="D29" s="1" t="str">
        <f aca="false">'Prone 50m'!E29</f>
        <v/>
      </c>
      <c r="E29" s="1" t="str">
        <f aca="false">'Prone 50m'!F29</f>
        <v/>
      </c>
      <c r="F29" s="1" t="n">
        <f aca="false">IF('Prone 50m'!S29="",0,'Prone 50m'!S29)</f>
        <v>0</v>
      </c>
      <c r="G29" s="1" t="n">
        <f aca="false">IF('Prone 50m'!T29="",0,'Prone 50m'!T29)</f>
        <v>0</v>
      </c>
      <c r="H29" s="1" t="n">
        <f aca="false">IFERROR(YEAR('Prone 50m'!A29),"")</f>
        <v>1899</v>
      </c>
      <c r="I29" s="1" t="n">
        <f aca="false">IF(AND('Prone 50m'!D29&lt;&gt;"",'Prone 50m'!S29&lt;&gt;""),1,0)</f>
        <v>0</v>
      </c>
    </row>
    <row r="30" customFormat="false" ht="15" hidden="false" customHeight="true" outlineLevel="0" collapsed="false">
      <c r="A30" s="83" t="n">
        <f aca="false">'Prone 50m'!A30</f>
        <v>0</v>
      </c>
      <c r="B30" s="1" t="n">
        <f aca="false">'Prone 50m'!C30</f>
        <v>0</v>
      </c>
      <c r="C30" s="1" t="n">
        <f aca="false">'Prone 50m'!D30</f>
        <v>0</v>
      </c>
      <c r="D30" s="1" t="str">
        <f aca="false">'Prone 50m'!E30</f>
        <v/>
      </c>
      <c r="E30" s="1" t="str">
        <f aca="false">'Prone 50m'!F30</f>
        <v/>
      </c>
      <c r="F30" s="1" t="n">
        <f aca="false">IF('Prone 50m'!S30="",0,'Prone 50m'!S30)</f>
        <v>0</v>
      </c>
      <c r="G30" s="1" t="n">
        <f aca="false">IF('Prone 50m'!T30="",0,'Prone 50m'!T30)</f>
        <v>0</v>
      </c>
      <c r="H30" s="1" t="n">
        <f aca="false">IFERROR(YEAR('Prone 50m'!A30),"")</f>
        <v>1899</v>
      </c>
      <c r="I30" s="1" t="n">
        <f aca="false">IF(AND('Prone 50m'!D30&lt;&gt;"",'Prone 50m'!S30&lt;&gt;""),1,0)</f>
        <v>0</v>
      </c>
    </row>
    <row r="31" customFormat="false" ht="15" hidden="false" customHeight="true" outlineLevel="0" collapsed="false">
      <c r="A31" s="83" t="n">
        <f aca="false">'Prone 50m'!A31</f>
        <v>0</v>
      </c>
      <c r="B31" s="1" t="n">
        <f aca="false">'Prone 50m'!C31</f>
        <v>0</v>
      </c>
      <c r="C31" s="1" t="n">
        <f aca="false">'Prone 50m'!D31</f>
        <v>0</v>
      </c>
      <c r="D31" s="1" t="str">
        <f aca="false">'Prone 50m'!E31</f>
        <v/>
      </c>
      <c r="E31" s="1" t="str">
        <f aca="false">'Prone 50m'!F31</f>
        <v/>
      </c>
      <c r="F31" s="1" t="n">
        <f aca="false">IF('Prone 50m'!S31="",0,'Prone 50m'!S31)</f>
        <v>0</v>
      </c>
      <c r="G31" s="1" t="n">
        <f aca="false">IF('Prone 50m'!T31="",0,'Prone 50m'!T31)</f>
        <v>0</v>
      </c>
      <c r="H31" s="1" t="n">
        <f aca="false">IFERROR(YEAR('Prone 50m'!A31),"")</f>
        <v>1899</v>
      </c>
      <c r="I31" s="1" t="n">
        <f aca="false">IF(AND('Prone 50m'!D31&lt;&gt;"",'Prone 50m'!S31&lt;&gt;""),1,0)</f>
        <v>0</v>
      </c>
    </row>
    <row r="32" customFormat="false" ht="15" hidden="false" customHeight="true" outlineLevel="0" collapsed="false">
      <c r="A32" s="83" t="n">
        <f aca="false">'Prone 50m'!A32</f>
        <v>0</v>
      </c>
      <c r="B32" s="1" t="n">
        <f aca="false">'Prone 50m'!C32</f>
        <v>0</v>
      </c>
      <c r="C32" s="1" t="n">
        <f aca="false">'Prone 50m'!D32</f>
        <v>0</v>
      </c>
      <c r="D32" s="1" t="str">
        <f aca="false">'Prone 50m'!E32</f>
        <v/>
      </c>
      <c r="E32" s="1" t="str">
        <f aca="false">'Prone 50m'!F32</f>
        <v/>
      </c>
      <c r="F32" s="1" t="n">
        <f aca="false">IF('Prone 50m'!S32="",0,'Prone 50m'!S32)</f>
        <v>0</v>
      </c>
      <c r="G32" s="1" t="n">
        <f aca="false">IF('Prone 50m'!T32="",0,'Prone 50m'!T32)</f>
        <v>0</v>
      </c>
      <c r="H32" s="1" t="n">
        <f aca="false">IFERROR(YEAR('Prone 50m'!A32),"")</f>
        <v>1899</v>
      </c>
      <c r="I32" s="1" t="n">
        <f aca="false">IF(AND('Prone 50m'!D32&lt;&gt;"",'Prone 50m'!S32&lt;&gt;""),1,0)</f>
        <v>0</v>
      </c>
    </row>
    <row r="33" customFormat="false" ht="15" hidden="false" customHeight="true" outlineLevel="0" collapsed="false">
      <c r="A33" s="83" t="n">
        <f aca="false">'Prone 50m'!A33</f>
        <v>0</v>
      </c>
      <c r="B33" s="1" t="n">
        <f aca="false">'Prone 50m'!C33</f>
        <v>0</v>
      </c>
      <c r="C33" s="1" t="n">
        <f aca="false">'Prone 50m'!D33</f>
        <v>0</v>
      </c>
      <c r="D33" s="1" t="str">
        <f aca="false">'Prone 50m'!E33</f>
        <v/>
      </c>
      <c r="E33" s="1" t="str">
        <f aca="false">'Prone 50m'!F33</f>
        <v/>
      </c>
      <c r="F33" s="1" t="n">
        <f aca="false">IF('Prone 50m'!S33="",0,'Prone 50m'!S33)</f>
        <v>0</v>
      </c>
      <c r="G33" s="1" t="n">
        <f aca="false">IF('Prone 50m'!T33="",0,'Prone 50m'!T33)</f>
        <v>0</v>
      </c>
      <c r="H33" s="1" t="n">
        <f aca="false">IFERROR(YEAR('Prone 50m'!A33),"")</f>
        <v>1899</v>
      </c>
      <c r="I33" s="1" t="n">
        <f aca="false">IF(AND('Prone 50m'!D33&lt;&gt;"",'Prone 50m'!S33&lt;&gt;""),1,0)</f>
        <v>0</v>
      </c>
    </row>
    <row r="34" customFormat="false" ht="15" hidden="false" customHeight="true" outlineLevel="0" collapsed="false">
      <c r="A34" s="83" t="n">
        <f aca="false">'Prone 50m'!A34</f>
        <v>0</v>
      </c>
      <c r="B34" s="1" t="n">
        <f aca="false">'Prone 50m'!C34</f>
        <v>0</v>
      </c>
      <c r="C34" s="1" t="n">
        <f aca="false">'Prone 50m'!D34</f>
        <v>0</v>
      </c>
      <c r="D34" s="1" t="str">
        <f aca="false">'Prone 50m'!E34</f>
        <v/>
      </c>
      <c r="E34" s="1" t="str">
        <f aca="false">'Prone 50m'!F34</f>
        <v/>
      </c>
      <c r="F34" s="1" t="n">
        <f aca="false">IF('Prone 50m'!S34="",0,'Prone 50m'!S34)</f>
        <v>0</v>
      </c>
      <c r="G34" s="1" t="n">
        <f aca="false">IF('Prone 50m'!T34="",0,'Prone 50m'!T34)</f>
        <v>0</v>
      </c>
      <c r="H34" s="1" t="n">
        <f aca="false">IFERROR(YEAR('Prone 50m'!A34),"")</f>
        <v>1899</v>
      </c>
      <c r="I34" s="1" t="n">
        <f aca="false">IF(AND('Prone 50m'!D34&lt;&gt;"",'Prone 50m'!S34&lt;&gt;""),1,0)</f>
        <v>0</v>
      </c>
    </row>
    <row r="35" customFormat="false" ht="15" hidden="false" customHeight="true" outlineLevel="0" collapsed="false">
      <c r="A35" s="83" t="n">
        <f aca="false">'Prone 50m'!A35</f>
        <v>0</v>
      </c>
      <c r="B35" s="1" t="n">
        <f aca="false">'Prone 50m'!C35</f>
        <v>0</v>
      </c>
      <c r="C35" s="1" t="n">
        <f aca="false">'Prone 50m'!D35</f>
        <v>0</v>
      </c>
      <c r="D35" s="1" t="str">
        <f aca="false">'Prone 50m'!E35</f>
        <v/>
      </c>
      <c r="E35" s="1" t="str">
        <f aca="false">'Prone 50m'!F35</f>
        <v/>
      </c>
      <c r="F35" s="1" t="n">
        <f aca="false">IF('Prone 50m'!S35="",0,'Prone 50m'!S35)</f>
        <v>0</v>
      </c>
      <c r="G35" s="1" t="n">
        <f aca="false">IF('Prone 50m'!T35="",0,'Prone 50m'!T35)</f>
        <v>0</v>
      </c>
      <c r="H35" s="1" t="n">
        <f aca="false">IFERROR(YEAR('Prone 50m'!A35),"")</f>
        <v>1899</v>
      </c>
      <c r="I35" s="1" t="n">
        <f aca="false">IF(AND('Prone 50m'!D35&lt;&gt;"",'Prone 50m'!S35&lt;&gt;""),1,0)</f>
        <v>0</v>
      </c>
    </row>
    <row r="36" customFormat="false" ht="15" hidden="false" customHeight="true" outlineLevel="0" collapsed="false">
      <c r="A36" s="83" t="n">
        <f aca="false">'Prone 50m'!A36</f>
        <v>0</v>
      </c>
      <c r="B36" s="1" t="n">
        <f aca="false">'Prone 50m'!C36</f>
        <v>0</v>
      </c>
      <c r="C36" s="1" t="n">
        <f aca="false">'Prone 50m'!D36</f>
        <v>0</v>
      </c>
      <c r="D36" s="1" t="str">
        <f aca="false">'Prone 50m'!E36</f>
        <v/>
      </c>
      <c r="E36" s="1" t="str">
        <f aca="false">'Prone 50m'!F36</f>
        <v/>
      </c>
      <c r="F36" s="1" t="n">
        <f aca="false">IF('Prone 50m'!S36="",0,'Prone 50m'!S36)</f>
        <v>0</v>
      </c>
      <c r="G36" s="1" t="n">
        <f aca="false">IF('Prone 50m'!T36="",0,'Prone 50m'!T36)</f>
        <v>0</v>
      </c>
      <c r="H36" s="1" t="n">
        <f aca="false">IFERROR(YEAR('Prone 50m'!A36),"")</f>
        <v>1899</v>
      </c>
      <c r="I36" s="1" t="n">
        <f aca="false">IF(AND('Prone 50m'!D36&lt;&gt;"",'Prone 50m'!S36&lt;&gt;""),1,0)</f>
        <v>0</v>
      </c>
    </row>
    <row r="37" customFormat="false" ht="15" hidden="false" customHeight="true" outlineLevel="0" collapsed="false">
      <c r="A37" s="83" t="n">
        <f aca="false">'Prone 50m'!A37</f>
        <v>0</v>
      </c>
      <c r="B37" s="1" t="n">
        <f aca="false">'Prone 50m'!C37</f>
        <v>0</v>
      </c>
      <c r="C37" s="1" t="n">
        <f aca="false">'Prone 50m'!D37</f>
        <v>0</v>
      </c>
      <c r="D37" s="1" t="str">
        <f aca="false">'Prone 50m'!E37</f>
        <v/>
      </c>
      <c r="E37" s="1" t="str">
        <f aca="false">'Prone 50m'!F37</f>
        <v/>
      </c>
      <c r="F37" s="1" t="n">
        <f aca="false">IF('Prone 50m'!S37="",0,'Prone 50m'!S37)</f>
        <v>0</v>
      </c>
      <c r="G37" s="1" t="n">
        <f aca="false">IF('Prone 50m'!T37="",0,'Prone 50m'!T37)</f>
        <v>0</v>
      </c>
      <c r="H37" s="1" t="n">
        <f aca="false">IFERROR(YEAR('Prone 50m'!A37),"")</f>
        <v>1899</v>
      </c>
      <c r="I37" s="1" t="n">
        <f aca="false">IF(AND('Prone 50m'!D37&lt;&gt;"",'Prone 50m'!S37&lt;&gt;""),1,0)</f>
        <v>0</v>
      </c>
    </row>
    <row r="38" customFormat="false" ht="15" hidden="false" customHeight="true" outlineLevel="0" collapsed="false">
      <c r="A38" s="83" t="n">
        <f aca="false">'Prone 50m'!A38</f>
        <v>0</v>
      </c>
      <c r="B38" s="1" t="n">
        <f aca="false">'Prone 50m'!C38</f>
        <v>0</v>
      </c>
      <c r="C38" s="1" t="n">
        <f aca="false">'Prone 50m'!D38</f>
        <v>0</v>
      </c>
      <c r="D38" s="1" t="str">
        <f aca="false">'Prone 50m'!E38</f>
        <v/>
      </c>
      <c r="E38" s="1" t="str">
        <f aca="false">'Prone 50m'!F38</f>
        <v/>
      </c>
      <c r="F38" s="1" t="n">
        <f aca="false">IF('Prone 50m'!S38="",0,'Prone 50m'!S38)</f>
        <v>0</v>
      </c>
      <c r="G38" s="1" t="n">
        <f aca="false">IF('Prone 50m'!T38="",0,'Prone 50m'!T38)</f>
        <v>0</v>
      </c>
      <c r="H38" s="1" t="n">
        <f aca="false">IFERROR(YEAR('Prone 50m'!A38),"")</f>
        <v>1899</v>
      </c>
      <c r="I38" s="1" t="n">
        <f aca="false">IF(AND('Prone 50m'!D38&lt;&gt;"",'Prone 50m'!S38&lt;&gt;""),1,0)</f>
        <v>0</v>
      </c>
    </row>
    <row r="39" customFormat="false" ht="15" hidden="false" customHeight="true" outlineLevel="0" collapsed="false">
      <c r="A39" s="83" t="n">
        <f aca="false">'Prone 50m'!A39</f>
        <v>0</v>
      </c>
      <c r="B39" s="1" t="n">
        <f aca="false">'Prone 50m'!C39</f>
        <v>0</v>
      </c>
      <c r="C39" s="1" t="n">
        <f aca="false">'Prone 50m'!D39</f>
        <v>0</v>
      </c>
      <c r="D39" s="1" t="str">
        <f aca="false">'Prone 50m'!E39</f>
        <v/>
      </c>
      <c r="E39" s="1" t="str">
        <f aca="false">'Prone 50m'!F39</f>
        <v/>
      </c>
      <c r="F39" s="1" t="n">
        <f aca="false">IF('Prone 50m'!S39="",0,'Prone 50m'!S39)</f>
        <v>0</v>
      </c>
      <c r="G39" s="1" t="n">
        <f aca="false">IF('Prone 50m'!T39="",0,'Prone 50m'!T39)</f>
        <v>0</v>
      </c>
      <c r="H39" s="1" t="n">
        <f aca="false">IFERROR(YEAR('Prone 50m'!A39),"")</f>
        <v>1899</v>
      </c>
      <c r="I39" s="1" t="n">
        <f aca="false">IF(AND('Prone 50m'!D39&lt;&gt;"",'Prone 50m'!S39&lt;&gt;""),1,0)</f>
        <v>0</v>
      </c>
    </row>
    <row r="40" customFormat="false" ht="15" hidden="false" customHeight="true" outlineLevel="0" collapsed="false">
      <c r="A40" s="83" t="n">
        <f aca="false">'Prone 50m'!A40</f>
        <v>0</v>
      </c>
      <c r="B40" s="1" t="n">
        <f aca="false">'Prone 50m'!C40</f>
        <v>0</v>
      </c>
      <c r="C40" s="1" t="n">
        <f aca="false">'Prone 50m'!D40</f>
        <v>0</v>
      </c>
      <c r="D40" s="1" t="str">
        <f aca="false">'Prone 50m'!E40</f>
        <v/>
      </c>
      <c r="E40" s="1" t="str">
        <f aca="false">'Prone 50m'!F40</f>
        <v/>
      </c>
      <c r="F40" s="1" t="n">
        <f aca="false">IF('Prone 50m'!S40="",0,'Prone 50m'!S40)</f>
        <v>0</v>
      </c>
      <c r="G40" s="1" t="n">
        <f aca="false">IF('Prone 50m'!T40="",0,'Prone 50m'!T40)</f>
        <v>0</v>
      </c>
      <c r="H40" s="1" t="n">
        <f aca="false">IFERROR(YEAR('Prone 50m'!A40),"")</f>
        <v>1899</v>
      </c>
      <c r="I40" s="1" t="n">
        <f aca="false">IF(AND('Prone 50m'!D40&lt;&gt;"",'Prone 50m'!S40&lt;&gt;""),1,0)</f>
        <v>0</v>
      </c>
    </row>
    <row r="41" customFormat="false" ht="15" hidden="false" customHeight="true" outlineLevel="0" collapsed="false">
      <c r="A41" s="83" t="n">
        <f aca="false">'Prone 50m'!A41</f>
        <v>0</v>
      </c>
      <c r="B41" s="1" t="n">
        <f aca="false">'Prone 50m'!C41</f>
        <v>0</v>
      </c>
      <c r="C41" s="1" t="n">
        <f aca="false">'Prone 50m'!D41</f>
        <v>0</v>
      </c>
      <c r="D41" s="1" t="str">
        <f aca="false">'Prone 50m'!E41</f>
        <v/>
      </c>
      <c r="E41" s="1" t="str">
        <f aca="false">'Prone 50m'!F41</f>
        <v/>
      </c>
      <c r="F41" s="1" t="n">
        <f aca="false">IF('Prone 50m'!S41="",0,'Prone 50m'!S41)</f>
        <v>0</v>
      </c>
      <c r="G41" s="1" t="n">
        <f aca="false">IF('Prone 50m'!T41="",0,'Prone 50m'!T41)</f>
        <v>0</v>
      </c>
      <c r="H41" s="1" t="n">
        <f aca="false">IFERROR(YEAR('Prone 50m'!A41),"")</f>
        <v>1899</v>
      </c>
      <c r="I41" s="1" t="n">
        <f aca="false">IF(AND('Prone 50m'!D41&lt;&gt;"",'Prone 50m'!S41&lt;&gt;""),1,0)</f>
        <v>0</v>
      </c>
    </row>
    <row r="42" customFormat="false" ht="15" hidden="false" customHeight="true" outlineLevel="0" collapsed="false">
      <c r="A42" s="83" t="n">
        <f aca="false">'Prone 50m'!A42</f>
        <v>0</v>
      </c>
      <c r="B42" s="1" t="n">
        <f aca="false">'Prone 50m'!C42</f>
        <v>0</v>
      </c>
      <c r="C42" s="1" t="n">
        <f aca="false">'Prone 50m'!D42</f>
        <v>0</v>
      </c>
      <c r="D42" s="1" t="str">
        <f aca="false">'Prone 50m'!E42</f>
        <v/>
      </c>
      <c r="E42" s="1" t="str">
        <f aca="false">'Prone 50m'!F42</f>
        <v/>
      </c>
      <c r="F42" s="1" t="n">
        <f aca="false">IF('Prone 50m'!S42="",0,'Prone 50m'!S42)</f>
        <v>0</v>
      </c>
      <c r="G42" s="1" t="n">
        <f aca="false">IF('Prone 50m'!T42="",0,'Prone 50m'!T42)</f>
        <v>0</v>
      </c>
      <c r="H42" s="1" t="n">
        <f aca="false">IFERROR(YEAR('Prone 50m'!A42),"")</f>
        <v>1899</v>
      </c>
      <c r="I42" s="1" t="n">
        <f aca="false">IF(AND('Prone 50m'!D42&lt;&gt;"",'Prone 50m'!S42&lt;&gt;""),1,0)</f>
        <v>0</v>
      </c>
    </row>
    <row r="43" customFormat="false" ht="15" hidden="false" customHeight="true" outlineLevel="0" collapsed="false">
      <c r="A43" s="83" t="n">
        <f aca="false">'Prone 50m'!A43</f>
        <v>0</v>
      </c>
      <c r="B43" s="1" t="n">
        <f aca="false">'Prone 50m'!C43</f>
        <v>0</v>
      </c>
      <c r="C43" s="1" t="n">
        <f aca="false">'Prone 50m'!D43</f>
        <v>0</v>
      </c>
      <c r="D43" s="1" t="str">
        <f aca="false">'Prone 50m'!E43</f>
        <v/>
      </c>
      <c r="E43" s="1" t="str">
        <f aca="false">'Prone 50m'!F43</f>
        <v/>
      </c>
      <c r="F43" s="1" t="n">
        <f aca="false">IF('Prone 50m'!S43="",0,'Prone 50m'!S43)</f>
        <v>0</v>
      </c>
      <c r="G43" s="1" t="n">
        <f aca="false">IF('Prone 50m'!T43="",0,'Prone 50m'!T43)</f>
        <v>0</v>
      </c>
      <c r="H43" s="1" t="n">
        <f aca="false">IFERROR(YEAR('Prone 50m'!A43),"")</f>
        <v>1899</v>
      </c>
      <c r="I43" s="1" t="n">
        <f aca="false">IF(AND('Prone 50m'!D43&lt;&gt;"",'Prone 50m'!S43&lt;&gt;""),1,0)</f>
        <v>0</v>
      </c>
    </row>
    <row r="44" customFormat="false" ht="15" hidden="false" customHeight="true" outlineLevel="0" collapsed="false">
      <c r="A44" s="83" t="n">
        <f aca="false">'Prone 50m'!A44</f>
        <v>0</v>
      </c>
      <c r="B44" s="1" t="n">
        <f aca="false">'Prone 50m'!C44</f>
        <v>0</v>
      </c>
      <c r="C44" s="1" t="n">
        <f aca="false">'Prone 50m'!D44</f>
        <v>0</v>
      </c>
      <c r="D44" s="1" t="str">
        <f aca="false">'Prone 50m'!E44</f>
        <v/>
      </c>
      <c r="E44" s="1" t="str">
        <f aca="false">'Prone 50m'!F44</f>
        <v/>
      </c>
      <c r="F44" s="1" t="n">
        <f aca="false">IF('Prone 50m'!S44="",0,'Prone 50m'!S44)</f>
        <v>0</v>
      </c>
      <c r="G44" s="1" t="n">
        <f aca="false">IF('Prone 50m'!T44="",0,'Prone 50m'!T44)</f>
        <v>0</v>
      </c>
      <c r="H44" s="1" t="n">
        <f aca="false">IFERROR(YEAR('Prone 50m'!A44),"")</f>
        <v>1899</v>
      </c>
      <c r="I44" s="1" t="n">
        <f aca="false">IF(AND('Prone 50m'!D44&lt;&gt;"",'Prone 50m'!S44&lt;&gt;""),1,0)</f>
        <v>0</v>
      </c>
    </row>
    <row r="45" customFormat="false" ht="15" hidden="false" customHeight="true" outlineLevel="0" collapsed="false">
      <c r="A45" s="83" t="n">
        <f aca="false">'Prone 50m'!A45</f>
        <v>0</v>
      </c>
      <c r="B45" s="1" t="n">
        <f aca="false">'Prone 50m'!C45</f>
        <v>0</v>
      </c>
      <c r="C45" s="1" t="n">
        <f aca="false">'Prone 50m'!D45</f>
        <v>0</v>
      </c>
      <c r="D45" s="1" t="str">
        <f aca="false">'Prone 50m'!E45</f>
        <v/>
      </c>
      <c r="E45" s="1" t="str">
        <f aca="false">'Prone 50m'!F45</f>
        <v/>
      </c>
      <c r="F45" s="1" t="n">
        <f aca="false">IF('Prone 50m'!S45="",0,'Prone 50m'!S45)</f>
        <v>0</v>
      </c>
      <c r="G45" s="1" t="n">
        <f aca="false">IF('Prone 50m'!T45="",0,'Prone 50m'!T45)</f>
        <v>0</v>
      </c>
      <c r="H45" s="1" t="n">
        <f aca="false">IFERROR(YEAR('Prone 50m'!A45),"")</f>
        <v>1899</v>
      </c>
      <c r="I45" s="1" t="n">
        <f aca="false">IF(AND('Prone 50m'!D45&lt;&gt;"",'Prone 50m'!S45&lt;&gt;""),1,0)</f>
        <v>0</v>
      </c>
    </row>
    <row r="46" customFormat="false" ht="15" hidden="false" customHeight="true" outlineLevel="0" collapsed="false">
      <c r="A46" s="83" t="n">
        <f aca="false">'Prone 50m'!A46</f>
        <v>0</v>
      </c>
      <c r="B46" s="1" t="n">
        <f aca="false">'Prone 50m'!C46</f>
        <v>0</v>
      </c>
      <c r="C46" s="1" t="n">
        <f aca="false">'Prone 50m'!D46</f>
        <v>0</v>
      </c>
      <c r="D46" s="1" t="str">
        <f aca="false">'Prone 50m'!E46</f>
        <v/>
      </c>
      <c r="E46" s="1" t="str">
        <f aca="false">'Prone 50m'!F46</f>
        <v/>
      </c>
      <c r="F46" s="1" t="n">
        <f aca="false">IF('Prone 50m'!S46="",0,'Prone 50m'!S46)</f>
        <v>0</v>
      </c>
      <c r="G46" s="1" t="n">
        <f aca="false">IF('Prone 50m'!T46="",0,'Prone 50m'!T46)</f>
        <v>0</v>
      </c>
      <c r="H46" s="1" t="n">
        <f aca="false">IFERROR(YEAR('Prone 50m'!A46),"")</f>
        <v>1899</v>
      </c>
      <c r="I46" s="1" t="n">
        <f aca="false">IF(AND('Prone 50m'!D46&lt;&gt;"",'Prone 50m'!S46&lt;&gt;""),1,0)</f>
        <v>0</v>
      </c>
    </row>
    <row r="47" customFormat="false" ht="15" hidden="false" customHeight="true" outlineLevel="0" collapsed="false">
      <c r="A47" s="83" t="n">
        <f aca="false">'Prone 50m'!A47</f>
        <v>0</v>
      </c>
      <c r="B47" s="1" t="n">
        <f aca="false">'Prone 50m'!C47</f>
        <v>0</v>
      </c>
      <c r="C47" s="1" t="n">
        <f aca="false">'Prone 50m'!D47</f>
        <v>0</v>
      </c>
      <c r="D47" s="1" t="str">
        <f aca="false">'Prone 50m'!E47</f>
        <v/>
      </c>
      <c r="E47" s="1" t="str">
        <f aca="false">'Prone 50m'!F47</f>
        <v/>
      </c>
      <c r="F47" s="1" t="n">
        <f aca="false">IF('Prone 50m'!S47="",0,'Prone 50m'!S47)</f>
        <v>0</v>
      </c>
      <c r="G47" s="1" t="n">
        <f aca="false">IF('Prone 50m'!T47="",0,'Prone 50m'!T47)</f>
        <v>0</v>
      </c>
      <c r="H47" s="1" t="n">
        <f aca="false">IFERROR(YEAR('Prone 50m'!A47),"")</f>
        <v>1899</v>
      </c>
      <c r="I47" s="1" t="n">
        <f aca="false">IF(AND('Prone 50m'!D47&lt;&gt;"",'Prone 50m'!S47&lt;&gt;""),1,0)</f>
        <v>0</v>
      </c>
    </row>
    <row r="48" customFormat="false" ht="15" hidden="false" customHeight="true" outlineLevel="0" collapsed="false">
      <c r="A48" s="83" t="n">
        <f aca="false">'Prone 50m'!A48</f>
        <v>0</v>
      </c>
      <c r="B48" s="1" t="n">
        <f aca="false">'Prone 50m'!C48</f>
        <v>0</v>
      </c>
      <c r="C48" s="1" t="n">
        <f aca="false">'Prone 50m'!D48</f>
        <v>0</v>
      </c>
      <c r="D48" s="1" t="str">
        <f aca="false">'Prone 50m'!E48</f>
        <v/>
      </c>
      <c r="E48" s="1" t="str">
        <f aca="false">'Prone 50m'!F48</f>
        <v/>
      </c>
      <c r="F48" s="1" t="n">
        <f aca="false">IF('Prone 50m'!S48="",0,'Prone 50m'!S48)</f>
        <v>0</v>
      </c>
      <c r="G48" s="1" t="n">
        <f aca="false">IF('Prone 50m'!T48="",0,'Prone 50m'!T48)</f>
        <v>0</v>
      </c>
      <c r="H48" s="1" t="n">
        <f aca="false">IFERROR(YEAR('Prone 50m'!A48),"")</f>
        <v>1899</v>
      </c>
      <c r="I48" s="1" t="n">
        <f aca="false">IF(AND('Prone 50m'!D48&lt;&gt;"",'Prone 50m'!S48&lt;&gt;""),1,0)</f>
        <v>0</v>
      </c>
    </row>
    <row r="49" customFormat="false" ht="15" hidden="false" customHeight="true" outlineLevel="0" collapsed="false">
      <c r="A49" s="83" t="n">
        <f aca="false">'Prone 50m'!A49</f>
        <v>0</v>
      </c>
      <c r="B49" s="1" t="n">
        <f aca="false">'Prone 50m'!C49</f>
        <v>0</v>
      </c>
      <c r="C49" s="1" t="n">
        <f aca="false">'Prone 50m'!D49</f>
        <v>0</v>
      </c>
      <c r="D49" s="1" t="str">
        <f aca="false">'Prone 50m'!E49</f>
        <v/>
      </c>
      <c r="E49" s="1" t="str">
        <f aca="false">'Prone 50m'!F49</f>
        <v/>
      </c>
      <c r="F49" s="1" t="n">
        <f aca="false">IF('Prone 50m'!S49="",0,'Prone 50m'!S49)</f>
        <v>0</v>
      </c>
      <c r="G49" s="1" t="n">
        <f aca="false">IF('Prone 50m'!T49="",0,'Prone 50m'!T49)</f>
        <v>0</v>
      </c>
      <c r="H49" s="1" t="n">
        <f aca="false">IFERROR(YEAR('Prone 50m'!A49),"")</f>
        <v>1899</v>
      </c>
      <c r="I49" s="1" t="n">
        <f aca="false">IF(AND('Prone 50m'!D49&lt;&gt;"",'Prone 50m'!S49&lt;&gt;""),1,0)</f>
        <v>0</v>
      </c>
    </row>
    <row r="50" customFormat="false" ht="15" hidden="false" customHeight="true" outlineLevel="0" collapsed="false">
      <c r="A50" s="83" t="n">
        <f aca="false">'Prone 50m'!A50</f>
        <v>0</v>
      </c>
      <c r="B50" s="1" t="n">
        <f aca="false">'Prone 50m'!C50</f>
        <v>0</v>
      </c>
      <c r="C50" s="1" t="n">
        <f aca="false">'Prone 50m'!D50</f>
        <v>0</v>
      </c>
      <c r="D50" s="1" t="str">
        <f aca="false">'Prone 50m'!E50</f>
        <v/>
      </c>
      <c r="E50" s="1" t="str">
        <f aca="false">'Prone 50m'!F50</f>
        <v/>
      </c>
      <c r="F50" s="1" t="n">
        <f aca="false">IF('Prone 50m'!S50="",0,'Prone 50m'!S50)</f>
        <v>0</v>
      </c>
      <c r="G50" s="1" t="n">
        <f aca="false">IF('Prone 50m'!T50="",0,'Prone 50m'!T50)</f>
        <v>0</v>
      </c>
      <c r="H50" s="1" t="n">
        <f aca="false">IFERROR(YEAR('Prone 50m'!A50),"")</f>
        <v>1899</v>
      </c>
      <c r="I50" s="1" t="n">
        <f aca="false">IF(AND('Prone 50m'!D50&lt;&gt;"",'Prone 50m'!S50&lt;&gt;""),1,0)</f>
        <v>0</v>
      </c>
    </row>
    <row r="51" customFormat="false" ht="15" hidden="false" customHeight="true" outlineLevel="0" collapsed="false">
      <c r="A51" s="83" t="n">
        <f aca="false">'Prone 50m'!A51</f>
        <v>0</v>
      </c>
      <c r="B51" s="1" t="n">
        <f aca="false">'Prone 50m'!C51</f>
        <v>0</v>
      </c>
      <c r="C51" s="1" t="n">
        <f aca="false">'Prone 50m'!D51</f>
        <v>0</v>
      </c>
      <c r="D51" s="1" t="str">
        <f aca="false">'Prone 50m'!E51</f>
        <v/>
      </c>
      <c r="E51" s="1" t="str">
        <f aca="false">'Prone 50m'!F51</f>
        <v/>
      </c>
      <c r="F51" s="1" t="n">
        <f aca="false">IF('Prone 50m'!S51="",0,'Prone 50m'!S51)</f>
        <v>0</v>
      </c>
      <c r="G51" s="1" t="n">
        <f aca="false">IF('Prone 50m'!T51="",0,'Prone 50m'!T51)</f>
        <v>0</v>
      </c>
      <c r="H51" s="1" t="n">
        <f aca="false">IFERROR(YEAR('Prone 50m'!A51),"")</f>
        <v>1899</v>
      </c>
      <c r="I51" s="1" t="n">
        <f aca="false">IF(AND('Prone 50m'!D51&lt;&gt;"",'Prone 50m'!S51&lt;&gt;""),1,0)</f>
        <v>0</v>
      </c>
    </row>
    <row r="52" customFormat="false" ht="15" hidden="false" customHeight="true" outlineLevel="0" collapsed="false">
      <c r="A52" s="83" t="n">
        <f aca="false">'Prone 50m'!A52</f>
        <v>0</v>
      </c>
      <c r="B52" s="1" t="n">
        <f aca="false">'Prone 50m'!C52</f>
        <v>0</v>
      </c>
      <c r="C52" s="1" t="n">
        <f aca="false">'Prone 50m'!D52</f>
        <v>0</v>
      </c>
      <c r="D52" s="1" t="str">
        <f aca="false">'Prone 50m'!E52</f>
        <v/>
      </c>
      <c r="E52" s="1" t="str">
        <f aca="false">'Prone 50m'!F52</f>
        <v/>
      </c>
      <c r="F52" s="1" t="n">
        <f aca="false">IF('Prone 50m'!S52="",0,'Prone 50m'!S52)</f>
        <v>0</v>
      </c>
      <c r="G52" s="1" t="n">
        <f aca="false">IF('Prone 50m'!T52="",0,'Prone 50m'!T52)</f>
        <v>0</v>
      </c>
      <c r="H52" s="1" t="n">
        <f aca="false">IFERROR(YEAR('Prone 50m'!A52),"")</f>
        <v>1899</v>
      </c>
      <c r="I52" s="1" t="n">
        <f aca="false">IF(AND('Prone 50m'!D52&lt;&gt;"",'Prone 50m'!S52&lt;&gt;""),1,0)</f>
        <v>0</v>
      </c>
    </row>
    <row r="53" customFormat="false" ht="15" hidden="false" customHeight="true" outlineLevel="0" collapsed="false">
      <c r="A53" s="83" t="n">
        <f aca="false">'Prone 50m'!A53</f>
        <v>0</v>
      </c>
      <c r="B53" s="1" t="n">
        <f aca="false">'Prone 50m'!C53</f>
        <v>0</v>
      </c>
      <c r="C53" s="1" t="n">
        <f aca="false">'Prone 50m'!D53</f>
        <v>0</v>
      </c>
      <c r="D53" s="1" t="str">
        <f aca="false">'Prone 50m'!E53</f>
        <v/>
      </c>
      <c r="E53" s="1" t="str">
        <f aca="false">'Prone 50m'!F53</f>
        <v/>
      </c>
      <c r="F53" s="1" t="n">
        <f aca="false">IF('Prone 50m'!S53="",0,'Prone 50m'!S53)</f>
        <v>0</v>
      </c>
      <c r="G53" s="1" t="n">
        <f aca="false">IF('Prone 50m'!T53="",0,'Prone 50m'!T53)</f>
        <v>0</v>
      </c>
      <c r="H53" s="1" t="n">
        <f aca="false">IFERROR(YEAR('Prone 50m'!A53),"")</f>
        <v>1899</v>
      </c>
      <c r="I53" s="1" t="n">
        <f aca="false">IF(AND('Prone 50m'!D53&lt;&gt;"",'Prone 50m'!S53&lt;&gt;""),1,0)</f>
        <v>0</v>
      </c>
    </row>
    <row r="54" customFormat="false" ht="15" hidden="false" customHeight="true" outlineLevel="0" collapsed="false">
      <c r="A54" s="83" t="n">
        <f aca="false">'Prone 50m'!A54</f>
        <v>0</v>
      </c>
      <c r="B54" s="1" t="n">
        <f aca="false">'Prone 50m'!C54</f>
        <v>0</v>
      </c>
      <c r="C54" s="1" t="n">
        <f aca="false">'Prone 50m'!D54</f>
        <v>0</v>
      </c>
      <c r="D54" s="1" t="str">
        <f aca="false">'Prone 50m'!E54</f>
        <v/>
      </c>
      <c r="E54" s="1" t="str">
        <f aca="false">'Prone 50m'!F54</f>
        <v/>
      </c>
      <c r="F54" s="1" t="n">
        <f aca="false">IF('Prone 50m'!S54="",0,'Prone 50m'!S54)</f>
        <v>0</v>
      </c>
      <c r="G54" s="1" t="n">
        <f aca="false">IF('Prone 50m'!T54="",0,'Prone 50m'!T54)</f>
        <v>0</v>
      </c>
      <c r="H54" s="1" t="n">
        <f aca="false">IFERROR(YEAR('Prone 50m'!A54),"")</f>
        <v>1899</v>
      </c>
      <c r="I54" s="1" t="n">
        <f aca="false">IF(AND('Prone 50m'!D54&lt;&gt;"",'Prone 50m'!S54&lt;&gt;""),1,0)</f>
        <v>0</v>
      </c>
    </row>
    <row r="55" customFormat="false" ht="15" hidden="false" customHeight="true" outlineLevel="0" collapsed="false">
      <c r="A55" s="83" t="n">
        <f aca="false">'Prone 50m'!A55</f>
        <v>0</v>
      </c>
      <c r="B55" s="1" t="n">
        <f aca="false">'Prone 50m'!C55</f>
        <v>0</v>
      </c>
      <c r="C55" s="1" t="n">
        <f aca="false">'Prone 50m'!D55</f>
        <v>0</v>
      </c>
      <c r="D55" s="1" t="str">
        <f aca="false">'Prone 50m'!E55</f>
        <v/>
      </c>
      <c r="E55" s="1" t="str">
        <f aca="false">'Prone 50m'!F55</f>
        <v/>
      </c>
      <c r="F55" s="1" t="n">
        <f aca="false">IF('Prone 50m'!S55="",0,'Prone 50m'!S55)</f>
        <v>0</v>
      </c>
      <c r="G55" s="1" t="n">
        <f aca="false">IF('Prone 50m'!T55="",0,'Prone 50m'!T55)</f>
        <v>0</v>
      </c>
      <c r="H55" s="1" t="n">
        <f aca="false">IFERROR(YEAR('Prone 50m'!A55),"")</f>
        <v>1899</v>
      </c>
      <c r="I55" s="1" t="n">
        <f aca="false">IF(AND('Prone 50m'!D55&lt;&gt;"",'Prone 50m'!S55&lt;&gt;""),1,0)</f>
        <v>0</v>
      </c>
    </row>
    <row r="56" customFormat="false" ht="15" hidden="false" customHeight="true" outlineLevel="0" collapsed="false">
      <c r="A56" s="83" t="n">
        <f aca="false">'Prone 50m'!A56</f>
        <v>0</v>
      </c>
      <c r="B56" s="1" t="n">
        <f aca="false">'Prone 50m'!C56</f>
        <v>0</v>
      </c>
      <c r="C56" s="1" t="n">
        <f aca="false">'Prone 50m'!D56</f>
        <v>0</v>
      </c>
      <c r="D56" s="1" t="str">
        <f aca="false">'Prone 50m'!E56</f>
        <v/>
      </c>
      <c r="E56" s="1" t="str">
        <f aca="false">'Prone 50m'!F56</f>
        <v/>
      </c>
      <c r="F56" s="1" t="n">
        <f aca="false">IF('Prone 50m'!S56="",0,'Prone 50m'!S56)</f>
        <v>0</v>
      </c>
      <c r="G56" s="1" t="n">
        <f aca="false">IF('Prone 50m'!T56="",0,'Prone 50m'!T56)</f>
        <v>0</v>
      </c>
      <c r="H56" s="1" t="n">
        <f aca="false">IFERROR(YEAR('Prone 50m'!A56),"")</f>
        <v>1899</v>
      </c>
      <c r="I56" s="1" t="n">
        <f aca="false">IF(AND('Prone 50m'!D56&lt;&gt;"",'Prone 50m'!S56&lt;&gt;""),1,0)</f>
        <v>0</v>
      </c>
    </row>
    <row r="57" customFormat="false" ht="15" hidden="false" customHeight="true" outlineLevel="0" collapsed="false">
      <c r="A57" s="83" t="n">
        <f aca="false">'Prone 50m'!A57</f>
        <v>0</v>
      </c>
      <c r="B57" s="1" t="n">
        <f aca="false">'Prone 50m'!C57</f>
        <v>0</v>
      </c>
      <c r="C57" s="1" t="n">
        <f aca="false">'Prone 50m'!D57</f>
        <v>0</v>
      </c>
      <c r="D57" s="1" t="str">
        <f aca="false">'Prone 50m'!E57</f>
        <v/>
      </c>
      <c r="E57" s="1" t="str">
        <f aca="false">'Prone 50m'!F57</f>
        <v/>
      </c>
      <c r="F57" s="1" t="n">
        <f aca="false">IF('Prone 50m'!S57="",0,'Prone 50m'!S57)</f>
        <v>0</v>
      </c>
      <c r="G57" s="1" t="n">
        <f aca="false">IF('Prone 50m'!T57="",0,'Prone 50m'!T57)</f>
        <v>0</v>
      </c>
      <c r="H57" s="1" t="n">
        <f aca="false">IFERROR(YEAR('Prone 50m'!A57),"")</f>
        <v>1899</v>
      </c>
      <c r="I57" s="1" t="n">
        <f aca="false">IF(AND('Prone 50m'!D57&lt;&gt;"",'Prone 50m'!S57&lt;&gt;""),1,0)</f>
        <v>0</v>
      </c>
    </row>
    <row r="58" customFormat="false" ht="15" hidden="false" customHeight="true" outlineLevel="0" collapsed="false">
      <c r="A58" s="83" t="n">
        <f aca="false">'Prone 50m'!A58</f>
        <v>0</v>
      </c>
      <c r="B58" s="1" t="n">
        <f aca="false">'Prone 50m'!C58</f>
        <v>0</v>
      </c>
      <c r="C58" s="1" t="n">
        <f aca="false">'Prone 50m'!D58</f>
        <v>0</v>
      </c>
      <c r="D58" s="1" t="str">
        <f aca="false">'Prone 50m'!E58</f>
        <v/>
      </c>
      <c r="E58" s="1" t="str">
        <f aca="false">'Prone 50m'!F58</f>
        <v/>
      </c>
      <c r="F58" s="1" t="n">
        <f aca="false">IF('Prone 50m'!S58="",0,'Prone 50m'!S58)</f>
        <v>0</v>
      </c>
      <c r="G58" s="1" t="n">
        <f aca="false">IF('Prone 50m'!T58="",0,'Prone 50m'!T58)</f>
        <v>0</v>
      </c>
      <c r="H58" s="1" t="n">
        <f aca="false">IFERROR(YEAR('Prone 50m'!A58),"")</f>
        <v>1899</v>
      </c>
      <c r="I58" s="1" t="n">
        <f aca="false">IF(AND('Prone 50m'!D58&lt;&gt;"",'Prone 50m'!S58&lt;&gt;""),1,0)</f>
        <v>0</v>
      </c>
    </row>
    <row r="59" customFormat="false" ht="15" hidden="false" customHeight="true" outlineLevel="0" collapsed="false">
      <c r="A59" s="83" t="n">
        <f aca="false">'Prone 50m'!A59</f>
        <v>0</v>
      </c>
      <c r="B59" s="1" t="n">
        <f aca="false">'Prone 50m'!C59</f>
        <v>0</v>
      </c>
      <c r="C59" s="1" t="n">
        <f aca="false">'Prone 50m'!D59</f>
        <v>0</v>
      </c>
      <c r="D59" s="1" t="str">
        <f aca="false">'Prone 50m'!E59</f>
        <v/>
      </c>
      <c r="E59" s="1" t="str">
        <f aca="false">'Prone 50m'!F59</f>
        <v/>
      </c>
      <c r="F59" s="1" t="n">
        <f aca="false">IF('Prone 50m'!S59="",0,'Prone 50m'!S59)</f>
        <v>0</v>
      </c>
      <c r="G59" s="1" t="n">
        <f aca="false">IF('Prone 50m'!T59="",0,'Prone 50m'!T59)</f>
        <v>0</v>
      </c>
      <c r="H59" s="1" t="n">
        <f aca="false">IFERROR(YEAR('Prone 50m'!A59),"")</f>
        <v>1899</v>
      </c>
      <c r="I59" s="1" t="n">
        <f aca="false">IF(AND('Prone 50m'!D59&lt;&gt;"",'Prone 50m'!S59&lt;&gt;""),1,0)</f>
        <v>0</v>
      </c>
    </row>
    <row r="60" customFormat="false" ht="15" hidden="false" customHeight="true" outlineLevel="0" collapsed="false">
      <c r="A60" s="83" t="n">
        <f aca="false">'Prone 50m'!A60</f>
        <v>0</v>
      </c>
      <c r="B60" s="1" t="n">
        <f aca="false">'Prone 50m'!C60</f>
        <v>0</v>
      </c>
      <c r="C60" s="1" t="n">
        <f aca="false">'Prone 50m'!D60</f>
        <v>0</v>
      </c>
      <c r="D60" s="1" t="str">
        <f aca="false">'Prone 50m'!E60</f>
        <v/>
      </c>
      <c r="E60" s="1" t="str">
        <f aca="false">'Prone 50m'!F60</f>
        <v/>
      </c>
      <c r="F60" s="1" t="n">
        <f aca="false">IF('Prone 50m'!S60="",0,'Prone 50m'!S60)</f>
        <v>0</v>
      </c>
      <c r="G60" s="1" t="n">
        <f aca="false">IF('Prone 50m'!T60="",0,'Prone 50m'!T60)</f>
        <v>0</v>
      </c>
      <c r="H60" s="1" t="n">
        <f aca="false">IFERROR(YEAR('Prone 50m'!A60),"")</f>
        <v>1899</v>
      </c>
      <c r="I60" s="1" t="n">
        <f aca="false">IF(AND('Prone 50m'!D60&lt;&gt;"",'Prone 50m'!S60&lt;&gt;""),1,0)</f>
        <v>0</v>
      </c>
    </row>
    <row r="61" customFormat="false" ht="15" hidden="false" customHeight="true" outlineLevel="0" collapsed="false">
      <c r="A61" s="83" t="n">
        <f aca="false">'Prone 50m'!A61</f>
        <v>0</v>
      </c>
      <c r="B61" s="1" t="n">
        <f aca="false">'Prone 50m'!C61</f>
        <v>0</v>
      </c>
      <c r="C61" s="1" t="n">
        <f aca="false">'Prone 50m'!D61</f>
        <v>0</v>
      </c>
      <c r="D61" s="1" t="str">
        <f aca="false">'Prone 50m'!E61</f>
        <v/>
      </c>
      <c r="E61" s="1" t="str">
        <f aca="false">'Prone 50m'!F61</f>
        <v/>
      </c>
      <c r="F61" s="1" t="n">
        <f aca="false">IF('Prone 50m'!S61="",0,'Prone 50m'!S61)</f>
        <v>0</v>
      </c>
      <c r="G61" s="1" t="n">
        <f aca="false">IF('Prone 50m'!T61="",0,'Prone 50m'!T61)</f>
        <v>0</v>
      </c>
      <c r="H61" s="1" t="n">
        <f aca="false">IFERROR(YEAR('Prone 50m'!A61),"")</f>
        <v>1899</v>
      </c>
      <c r="I61" s="1" t="n">
        <f aca="false">IF(AND('Prone 50m'!D61&lt;&gt;"",'Prone 50m'!S61&lt;&gt;""),1,0)</f>
        <v>0</v>
      </c>
    </row>
    <row r="62" customFormat="false" ht="15" hidden="false" customHeight="true" outlineLevel="0" collapsed="false">
      <c r="A62" s="83" t="n">
        <f aca="false">'Prone 50m'!A62</f>
        <v>0</v>
      </c>
      <c r="B62" s="1" t="n">
        <f aca="false">'Prone 50m'!C62</f>
        <v>0</v>
      </c>
      <c r="C62" s="1" t="n">
        <f aca="false">'Prone 50m'!D62</f>
        <v>0</v>
      </c>
      <c r="D62" s="1" t="str">
        <f aca="false">'Prone 50m'!E62</f>
        <v/>
      </c>
      <c r="E62" s="1" t="str">
        <f aca="false">'Prone 50m'!F62</f>
        <v/>
      </c>
      <c r="F62" s="1" t="n">
        <f aca="false">IF('Prone 50m'!S62="",0,'Prone 50m'!S62)</f>
        <v>0</v>
      </c>
      <c r="G62" s="1" t="n">
        <f aca="false">IF('Prone 50m'!T62="",0,'Prone 50m'!T62)</f>
        <v>0</v>
      </c>
      <c r="H62" s="1" t="n">
        <f aca="false">IFERROR(YEAR('Prone 50m'!A62),"")</f>
        <v>1899</v>
      </c>
      <c r="I62" s="1" t="n">
        <f aca="false">IF(AND('Prone 50m'!D62&lt;&gt;"",'Prone 50m'!S62&lt;&gt;""),1,0)</f>
        <v>0</v>
      </c>
    </row>
    <row r="63" customFormat="false" ht="15" hidden="false" customHeight="true" outlineLevel="0" collapsed="false">
      <c r="A63" s="83" t="n">
        <f aca="false">'Prone 50m'!A63</f>
        <v>0</v>
      </c>
      <c r="B63" s="1" t="n">
        <f aca="false">'Prone 50m'!C63</f>
        <v>0</v>
      </c>
      <c r="C63" s="1" t="n">
        <f aca="false">'Prone 50m'!D63</f>
        <v>0</v>
      </c>
      <c r="D63" s="1" t="str">
        <f aca="false">'Prone 50m'!E63</f>
        <v/>
      </c>
      <c r="E63" s="1" t="str">
        <f aca="false">'Prone 50m'!F63</f>
        <v/>
      </c>
      <c r="F63" s="1" t="n">
        <f aca="false">IF('Prone 50m'!S63="",0,'Prone 50m'!S63)</f>
        <v>0</v>
      </c>
      <c r="G63" s="1" t="n">
        <f aca="false">IF('Prone 50m'!T63="",0,'Prone 50m'!T63)</f>
        <v>0</v>
      </c>
      <c r="H63" s="1" t="n">
        <f aca="false">IFERROR(YEAR('Prone 50m'!A63),"")</f>
        <v>1899</v>
      </c>
      <c r="I63" s="1" t="n">
        <f aca="false">IF(AND('Prone 50m'!D63&lt;&gt;"",'Prone 50m'!S63&lt;&gt;""),1,0)</f>
        <v>0</v>
      </c>
    </row>
    <row r="64" customFormat="false" ht="15" hidden="false" customHeight="true" outlineLevel="0" collapsed="false">
      <c r="A64" s="83" t="n">
        <f aca="false">'Prone 50m'!A64</f>
        <v>0</v>
      </c>
      <c r="B64" s="1" t="n">
        <f aca="false">'Prone 50m'!C64</f>
        <v>0</v>
      </c>
      <c r="C64" s="1" t="n">
        <f aca="false">'Prone 50m'!D64</f>
        <v>0</v>
      </c>
      <c r="D64" s="1" t="str">
        <f aca="false">'Prone 50m'!E64</f>
        <v/>
      </c>
      <c r="E64" s="1" t="str">
        <f aca="false">'Prone 50m'!F64</f>
        <v/>
      </c>
      <c r="F64" s="1" t="n">
        <f aca="false">IF('Prone 50m'!S64="",0,'Prone 50m'!S64)</f>
        <v>0</v>
      </c>
      <c r="G64" s="1" t="n">
        <f aca="false">IF('Prone 50m'!T64="",0,'Prone 50m'!T64)</f>
        <v>0</v>
      </c>
      <c r="H64" s="1" t="n">
        <f aca="false">IFERROR(YEAR('Prone 50m'!A64),"")</f>
        <v>1899</v>
      </c>
      <c r="I64" s="1" t="n">
        <f aca="false">IF(AND('Prone 50m'!D64&lt;&gt;"",'Prone 50m'!S64&lt;&gt;""),1,0)</f>
        <v>0</v>
      </c>
    </row>
    <row r="65" customFormat="false" ht="15" hidden="false" customHeight="true" outlineLevel="0" collapsed="false">
      <c r="A65" s="83" t="n">
        <f aca="false">'Prone 50m'!A65</f>
        <v>0</v>
      </c>
      <c r="B65" s="1" t="n">
        <f aca="false">'Prone 50m'!C65</f>
        <v>0</v>
      </c>
      <c r="C65" s="1" t="n">
        <f aca="false">'Prone 50m'!D65</f>
        <v>0</v>
      </c>
      <c r="D65" s="1" t="str">
        <f aca="false">'Prone 50m'!E65</f>
        <v/>
      </c>
      <c r="E65" s="1" t="str">
        <f aca="false">'Prone 50m'!F65</f>
        <v/>
      </c>
      <c r="F65" s="1" t="n">
        <f aca="false">IF('Prone 50m'!S65="",0,'Prone 50m'!S65)</f>
        <v>0</v>
      </c>
      <c r="G65" s="1" t="n">
        <f aca="false">IF('Prone 50m'!T65="",0,'Prone 50m'!T65)</f>
        <v>0</v>
      </c>
      <c r="H65" s="1" t="n">
        <f aca="false">IFERROR(YEAR('Prone 50m'!A65),"")</f>
        <v>1899</v>
      </c>
      <c r="I65" s="1" t="n">
        <f aca="false">IF(AND('Prone 50m'!D65&lt;&gt;"",'Prone 50m'!S65&lt;&gt;""),1,0)</f>
        <v>0</v>
      </c>
    </row>
    <row r="66" customFormat="false" ht="15" hidden="false" customHeight="true" outlineLevel="0" collapsed="false">
      <c r="A66" s="83" t="n">
        <f aca="false">'Prone 50m'!A66</f>
        <v>0</v>
      </c>
      <c r="B66" s="1" t="n">
        <f aca="false">'Prone 50m'!C66</f>
        <v>0</v>
      </c>
      <c r="C66" s="1" t="n">
        <f aca="false">'Prone 50m'!D66</f>
        <v>0</v>
      </c>
      <c r="D66" s="1" t="str">
        <f aca="false">'Prone 50m'!E66</f>
        <v/>
      </c>
      <c r="E66" s="1" t="str">
        <f aca="false">'Prone 50m'!F66</f>
        <v/>
      </c>
      <c r="F66" s="1" t="n">
        <f aca="false">IF('Prone 50m'!S66="",0,'Prone 50m'!S66)</f>
        <v>0</v>
      </c>
      <c r="G66" s="1" t="n">
        <f aca="false">IF('Prone 50m'!T66="",0,'Prone 50m'!T66)</f>
        <v>0</v>
      </c>
      <c r="H66" s="1" t="n">
        <f aca="false">IFERROR(YEAR('Prone 50m'!A66),"")</f>
        <v>1899</v>
      </c>
      <c r="I66" s="1" t="n">
        <f aca="false">IF(AND('Prone 50m'!D66&lt;&gt;"",'Prone 50m'!S66&lt;&gt;""),1,0)</f>
        <v>0</v>
      </c>
    </row>
    <row r="67" customFormat="false" ht="15" hidden="false" customHeight="true" outlineLevel="0" collapsed="false">
      <c r="A67" s="83" t="n">
        <f aca="false">'Prone 50m'!A67</f>
        <v>0</v>
      </c>
      <c r="B67" s="1" t="n">
        <f aca="false">'Prone 50m'!C67</f>
        <v>0</v>
      </c>
      <c r="C67" s="1" t="n">
        <f aca="false">'Prone 50m'!D67</f>
        <v>0</v>
      </c>
      <c r="D67" s="1" t="str">
        <f aca="false">'Prone 50m'!E67</f>
        <v/>
      </c>
      <c r="E67" s="1" t="str">
        <f aca="false">'Prone 50m'!F67</f>
        <v/>
      </c>
      <c r="F67" s="1" t="n">
        <f aca="false">IF('Prone 50m'!S67="",0,'Prone 50m'!S67)</f>
        <v>0</v>
      </c>
      <c r="G67" s="1" t="n">
        <f aca="false">IF('Prone 50m'!T67="",0,'Prone 50m'!T67)</f>
        <v>0</v>
      </c>
      <c r="H67" s="1" t="n">
        <f aca="false">IFERROR(YEAR('Prone 50m'!A67),"")</f>
        <v>1899</v>
      </c>
      <c r="I67" s="1" t="n">
        <f aca="false">IF(AND('Prone 50m'!D67&lt;&gt;"",'Prone 50m'!S67&lt;&gt;""),1,0)</f>
        <v>0</v>
      </c>
    </row>
    <row r="68" customFormat="false" ht="15" hidden="false" customHeight="true" outlineLevel="0" collapsed="false">
      <c r="A68" s="83" t="n">
        <f aca="false">'Prone 50m'!A68</f>
        <v>0</v>
      </c>
      <c r="B68" s="1" t="n">
        <f aca="false">'Prone 50m'!C68</f>
        <v>0</v>
      </c>
      <c r="C68" s="1" t="n">
        <f aca="false">'Prone 50m'!D68</f>
        <v>0</v>
      </c>
      <c r="D68" s="1" t="str">
        <f aca="false">'Prone 50m'!E68</f>
        <v/>
      </c>
      <c r="E68" s="1" t="str">
        <f aca="false">'Prone 50m'!F68</f>
        <v/>
      </c>
      <c r="F68" s="1" t="n">
        <f aca="false">IF('Prone 50m'!S68="",0,'Prone 50m'!S68)</f>
        <v>0</v>
      </c>
      <c r="G68" s="1" t="n">
        <f aca="false">IF('Prone 50m'!T68="",0,'Prone 50m'!T68)</f>
        <v>0</v>
      </c>
      <c r="H68" s="1" t="n">
        <f aca="false">IFERROR(YEAR('Prone 50m'!A68),"")</f>
        <v>1899</v>
      </c>
      <c r="I68" s="1" t="n">
        <f aca="false">IF(AND('Prone 50m'!D68&lt;&gt;"",'Prone 50m'!S68&lt;&gt;""),1,0)</f>
        <v>0</v>
      </c>
    </row>
    <row r="69" customFormat="false" ht="15" hidden="false" customHeight="true" outlineLevel="0" collapsed="false">
      <c r="A69" s="83" t="n">
        <f aca="false">'Prone 50m'!A69</f>
        <v>0</v>
      </c>
      <c r="B69" s="1" t="n">
        <f aca="false">'Prone 50m'!C69</f>
        <v>0</v>
      </c>
      <c r="C69" s="1" t="n">
        <f aca="false">'Prone 50m'!D69</f>
        <v>0</v>
      </c>
      <c r="D69" s="1" t="str">
        <f aca="false">'Prone 50m'!E69</f>
        <v/>
      </c>
      <c r="E69" s="1" t="str">
        <f aca="false">'Prone 50m'!F69</f>
        <v/>
      </c>
      <c r="F69" s="1" t="n">
        <f aca="false">IF('Prone 50m'!S69="",0,'Prone 50m'!S69)</f>
        <v>0</v>
      </c>
      <c r="G69" s="1" t="n">
        <f aca="false">IF('Prone 50m'!T69="",0,'Prone 50m'!T69)</f>
        <v>0</v>
      </c>
      <c r="H69" s="1" t="n">
        <f aca="false">IFERROR(YEAR('Prone 50m'!A69),"")</f>
        <v>1899</v>
      </c>
      <c r="I69" s="1" t="n">
        <f aca="false">IF(AND('Prone 50m'!D69&lt;&gt;"",'Prone 50m'!S69&lt;&gt;""),1,0)</f>
        <v>0</v>
      </c>
    </row>
    <row r="70" customFormat="false" ht="15" hidden="false" customHeight="true" outlineLevel="0" collapsed="false">
      <c r="A70" s="83" t="n">
        <f aca="false">'Prone 50m'!A70</f>
        <v>0</v>
      </c>
      <c r="B70" s="1" t="n">
        <f aca="false">'Prone 50m'!C70</f>
        <v>0</v>
      </c>
      <c r="C70" s="1" t="n">
        <f aca="false">'Prone 50m'!D70</f>
        <v>0</v>
      </c>
      <c r="D70" s="1" t="str">
        <f aca="false">'Prone 50m'!E70</f>
        <v/>
      </c>
      <c r="E70" s="1" t="str">
        <f aca="false">'Prone 50m'!F70</f>
        <v/>
      </c>
      <c r="F70" s="1" t="n">
        <f aca="false">IF('Prone 50m'!S70="",0,'Prone 50m'!S70)</f>
        <v>0</v>
      </c>
      <c r="G70" s="1" t="n">
        <f aca="false">IF('Prone 50m'!T70="",0,'Prone 50m'!T70)</f>
        <v>0</v>
      </c>
      <c r="H70" s="1" t="n">
        <f aca="false">IFERROR(YEAR('Prone 50m'!A70),"")</f>
        <v>1899</v>
      </c>
      <c r="I70" s="1" t="n">
        <f aca="false">IF(AND('Prone 50m'!D70&lt;&gt;"",'Prone 50m'!S70&lt;&gt;""),1,0)</f>
        <v>0</v>
      </c>
    </row>
    <row r="71" customFormat="false" ht="15" hidden="false" customHeight="true" outlineLevel="0" collapsed="false">
      <c r="A71" s="83" t="n">
        <f aca="false">'Prone 50m'!A71</f>
        <v>0</v>
      </c>
      <c r="B71" s="1" t="n">
        <f aca="false">'Prone 50m'!C71</f>
        <v>0</v>
      </c>
      <c r="C71" s="1" t="n">
        <f aca="false">'Prone 50m'!D71</f>
        <v>0</v>
      </c>
      <c r="D71" s="1" t="str">
        <f aca="false">'Prone 50m'!E71</f>
        <v/>
      </c>
      <c r="E71" s="1" t="str">
        <f aca="false">'Prone 50m'!F71</f>
        <v/>
      </c>
      <c r="F71" s="1" t="n">
        <f aca="false">IF('Prone 50m'!S71="",0,'Prone 50m'!S71)</f>
        <v>0</v>
      </c>
      <c r="G71" s="1" t="n">
        <f aca="false">IF('Prone 50m'!T71="",0,'Prone 50m'!T71)</f>
        <v>0</v>
      </c>
      <c r="H71" s="1" t="n">
        <f aca="false">IFERROR(YEAR('Prone 50m'!A71),"")</f>
        <v>1899</v>
      </c>
      <c r="I71" s="1" t="n">
        <f aca="false">IF(AND('Prone 50m'!D71&lt;&gt;"",'Prone 50m'!S71&lt;&gt;""),1,0)</f>
        <v>0</v>
      </c>
    </row>
    <row r="72" customFormat="false" ht="15" hidden="false" customHeight="true" outlineLevel="0" collapsed="false">
      <c r="A72" s="83" t="n">
        <f aca="false">'Prone 50m'!A72</f>
        <v>0</v>
      </c>
      <c r="B72" s="1" t="n">
        <f aca="false">'Prone 50m'!C72</f>
        <v>0</v>
      </c>
      <c r="C72" s="1" t="n">
        <f aca="false">'Prone 50m'!D72</f>
        <v>0</v>
      </c>
      <c r="D72" s="1" t="str">
        <f aca="false">'Prone 50m'!E72</f>
        <v/>
      </c>
      <c r="E72" s="1" t="str">
        <f aca="false">'Prone 50m'!F72</f>
        <v/>
      </c>
      <c r="F72" s="1" t="n">
        <f aca="false">IF('Prone 50m'!S72="",0,'Prone 50m'!S72)</f>
        <v>0</v>
      </c>
      <c r="G72" s="1" t="n">
        <f aca="false">IF('Prone 50m'!T72="",0,'Prone 50m'!T72)</f>
        <v>0</v>
      </c>
      <c r="H72" s="1" t="n">
        <f aca="false">IFERROR(YEAR('Prone 50m'!A72),"")</f>
        <v>1899</v>
      </c>
      <c r="I72" s="1" t="n">
        <f aca="false">IF(AND('Prone 50m'!D72&lt;&gt;"",'Prone 50m'!S72&lt;&gt;""),1,0)</f>
        <v>0</v>
      </c>
    </row>
    <row r="73" customFormat="false" ht="15" hidden="false" customHeight="true" outlineLevel="0" collapsed="false">
      <c r="A73" s="83" t="n">
        <f aca="false">'Prone 50m'!A73</f>
        <v>0</v>
      </c>
      <c r="B73" s="1" t="n">
        <f aca="false">'Prone 50m'!C73</f>
        <v>0</v>
      </c>
      <c r="C73" s="1" t="n">
        <f aca="false">'Prone 50m'!D73</f>
        <v>0</v>
      </c>
      <c r="D73" s="1" t="str">
        <f aca="false">'Prone 50m'!E73</f>
        <v/>
      </c>
      <c r="E73" s="1" t="str">
        <f aca="false">'Prone 50m'!F73</f>
        <v/>
      </c>
      <c r="F73" s="1" t="n">
        <f aca="false">IF('Prone 50m'!S73="",0,'Prone 50m'!S73)</f>
        <v>0</v>
      </c>
      <c r="G73" s="1" t="n">
        <f aca="false">IF('Prone 50m'!T73="",0,'Prone 50m'!T73)</f>
        <v>0</v>
      </c>
      <c r="H73" s="1" t="n">
        <f aca="false">IFERROR(YEAR('Prone 50m'!A73),"")</f>
        <v>1899</v>
      </c>
      <c r="I73" s="1" t="n">
        <f aca="false">IF(AND('Prone 50m'!D73&lt;&gt;"",'Prone 50m'!S73&lt;&gt;""),1,0)</f>
        <v>0</v>
      </c>
    </row>
    <row r="74" customFormat="false" ht="15" hidden="false" customHeight="true" outlineLevel="0" collapsed="false">
      <c r="A74" s="83" t="n">
        <f aca="false">'Prone 50m'!A74</f>
        <v>0</v>
      </c>
      <c r="B74" s="1" t="n">
        <f aca="false">'Prone 50m'!C74</f>
        <v>0</v>
      </c>
      <c r="C74" s="1" t="n">
        <f aca="false">'Prone 50m'!D74</f>
        <v>0</v>
      </c>
      <c r="D74" s="1" t="str">
        <f aca="false">'Prone 50m'!E74</f>
        <v/>
      </c>
      <c r="E74" s="1" t="str">
        <f aca="false">'Prone 50m'!F74</f>
        <v/>
      </c>
      <c r="F74" s="1" t="n">
        <f aca="false">IF('Prone 50m'!S74="",0,'Prone 50m'!S74)</f>
        <v>0</v>
      </c>
      <c r="G74" s="1" t="n">
        <f aca="false">IF('Prone 50m'!T74="",0,'Prone 50m'!T74)</f>
        <v>0</v>
      </c>
      <c r="H74" s="1" t="n">
        <f aca="false">IFERROR(YEAR('Prone 50m'!A74),"")</f>
        <v>1899</v>
      </c>
      <c r="I74" s="1" t="n">
        <f aca="false">IF(AND('Prone 50m'!D74&lt;&gt;"",'Prone 50m'!S74&lt;&gt;""),1,0)</f>
        <v>0</v>
      </c>
    </row>
    <row r="75" customFormat="false" ht="15" hidden="false" customHeight="true" outlineLevel="0" collapsed="false">
      <c r="A75" s="83" t="n">
        <f aca="false">'Prone 50m'!A75</f>
        <v>0</v>
      </c>
      <c r="B75" s="1" t="n">
        <f aca="false">'Prone 50m'!C75</f>
        <v>0</v>
      </c>
      <c r="C75" s="1" t="n">
        <f aca="false">'Prone 50m'!D75</f>
        <v>0</v>
      </c>
      <c r="D75" s="1" t="str">
        <f aca="false">'Prone 50m'!E75</f>
        <v/>
      </c>
      <c r="E75" s="1" t="str">
        <f aca="false">'Prone 50m'!F75</f>
        <v/>
      </c>
      <c r="F75" s="1" t="n">
        <f aca="false">IF('Prone 50m'!S75="",0,'Prone 50m'!S75)</f>
        <v>0</v>
      </c>
      <c r="G75" s="1" t="n">
        <f aca="false">IF('Prone 50m'!T75="",0,'Prone 50m'!T75)</f>
        <v>0</v>
      </c>
      <c r="H75" s="1" t="n">
        <f aca="false">IFERROR(YEAR('Prone 50m'!A75),"")</f>
        <v>1899</v>
      </c>
      <c r="I75" s="1" t="n">
        <f aca="false">IF(AND('Prone 50m'!D75&lt;&gt;"",'Prone 50m'!S75&lt;&gt;""),1,0)</f>
        <v>0</v>
      </c>
    </row>
    <row r="76" customFormat="false" ht="15" hidden="false" customHeight="true" outlineLevel="0" collapsed="false">
      <c r="A76" s="83" t="n">
        <f aca="false">'Prone 50m'!A76</f>
        <v>0</v>
      </c>
      <c r="B76" s="1" t="n">
        <f aca="false">'Prone 50m'!C76</f>
        <v>0</v>
      </c>
      <c r="C76" s="1" t="n">
        <f aca="false">'Prone 50m'!D76</f>
        <v>0</v>
      </c>
      <c r="D76" s="1" t="str">
        <f aca="false">'Prone 50m'!E76</f>
        <v/>
      </c>
      <c r="E76" s="1" t="str">
        <f aca="false">'Prone 50m'!F76</f>
        <v/>
      </c>
      <c r="F76" s="1" t="n">
        <f aca="false">IF('Prone 50m'!S76="",0,'Prone 50m'!S76)</f>
        <v>0</v>
      </c>
      <c r="G76" s="1" t="n">
        <f aca="false">IF('Prone 50m'!T76="",0,'Prone 50m'!T76)</f>
        <v>0</v>
      </c>
      <c r="H76" s="1" t="n">
        <f aca="false">IFERROR(YEAR('Prone 50m'!A76),"")</f>
        <v>1899</v>
      </c>
      <c r="I76" s="1" t="n">
        <f aca="false">IF(AND('Prone 50m'!D76&lt;&gt;"",'Prone 50m'!S76&lt;&gt;""),1,0)</f>
        <v>0</v>
      </c>
    </row>
    <row r="77" customFormat="false" ht="15" hidden="false" customHeight="true" outlineLevel="0" collapsed="false">
      <c r="A77" s="83" t="n">
        <f aca="false">'Prone 50m'!A77</f>
        <v>0</v>
      </c>
      <c r="B77" s="1" t="n">
        <f aca="false">'Prone 50m'!C77</f>
        <v>0</v>
      </c>
      <c r="C77" s="1" t="n">
        <f aca="false">'Prone 50m'!D77</f>
        <v>0</v>
      </c>
      <c r="D77" s="1" t="str">
        <f aca="false">'Prone 50m'!E77</f>
        <v/>
      </c>
      <c r="E77" s="1" t="str">
        <f aca="false">'Prone 50m'!F77</f>
        <v/>
      </c>
      <c r="F77" s="1" t="n">
        <f aca="false">IF('Prone 50m'!S77="",0,'Prone 50m'!S77)</f>
        <v>0</v>
      </c>
      <c r="G77" s="1" t="n">
        <f aca="false">IF('Prone 50m'!T77="",0,'Prone 50m'!T77)</f>
        <v>0</v>
      </c>
      <c r="H77" s="1" t="n">
        <f aca="false">IFERROR(YEAR('Prone 50m'!A77),"")</f>
        <v>1899</v>
      </c>
      <c r="I77" s="1" t="n">
        <f aca="false">IF(AND('Prone 50m'!D77&lt;&gt;"",'Prone 50m'!S77&lt;&gt;""),1,0)</f>
        <v>0</v>
      </c>
    </row>
    <row r="78" customFormat="false" ht="15" hidden="false" customHeight="true" outlineLevel="0" collapsed="false">
      <c r="A78" s="83" t="n">
        <f aca="false">'Prone 50m'!A78</f>
        <v>0</v>
      </c>
      <c r="B78" s="1" t="n">
        <f aca="false">'Prone 50m'!C78</f>
        <v>0</v>
      </c>
      <c r="C78" s="1" t="n">
        <f aca="false">'Prone 50m'!D78</f>
        <v>0</v>
      </c>
      <c r="D78" s="1" t="str">
        <f aca="false">'Prone 50m'!E78</f>
        <v/>
      </c>
      <c r="E78" s="1" t="str">
        <f aca="false">'Prone 50m'!F78</f>
        <v/>
      </c>
      <c r="F78" s="1" t="n">
        <f aca="false">IF('Prone 50m'!S78="",0,'Prone 50m'!S78)</f>
        <v>0</v>
      </c>
      <c r="G78" s="1" t="n">
        <f aca="false">IF('Prone 50m'!T78="",0,'Prone 50m'!T78)</f>
        <v>0</v>
      </c>
      <c r="H78" s="1" t="n">
        <f aca="false">IFERROR(YEAR('Prone 50m'!A78),"")</f>
        <v>1899</v>
      </c>
      <c r="I78" s="1" t="n">
        <f aca="false">IF(AND('Prone 50m'!D78&lt;&gt;"",'Prone 50m'!S78&lt;&gt;""),1,0)</f>
        <v>0</v>
      </c>
    </row>
    <row r="79" customFormat="false" ht="15" hidden="false" customHeight="true" outlineLevel="0" collapsed="false">
      <c r="A79" s="83" t="n">
        <f aca="false">'Prone 50m'!A79</f>
        <v>0</v>
      </c>
      <c r="B79" s="1" t="n">
        <f aca="false">'Prone 50m'!C79</f>
        <v>0</v>
      </c>
      <c r="C79" s="1" t="n">
        <f aca="false">'Prone 50m'!D79</f>
        <v>0</v>
      </c>
      <c r="D79" s="1" t="str">
        <f aca="false">'Prone 50m'!E79</f>
        <v/>
      </c>
      <c r="E79" s="1" t="str">
        <f aca="false">'Prone 50m'!F79</f>
        <v/>
      </c>
      <c r="F79" s="1" t="n">
        <f aca="false">IF('Prone 50m'!S79="",0,'Prone 50m'!S79)</f>
        <v>0</v>
      </c>
      <c r="G79" s="1" t="n">
        <f aca="false">IF('Prone 50m'!T79="",0,'Prone 50m'!T79)</f>
        <v>0</v>
      </c>
      <c r="H79" s="1" t="n">
        <f aca="false">IFERROR(YEAR('Prone 50m'!A79),"")</f>
        <v>1899</v>
      </c>
      <c r="I79" s="1" t="n">
        <f aca="false">IF(AND('Prone 50m'!D79&lt;&gt;"",'Prone 50m'!S79&lt;&gt;""),1,0)</f>
        <v>0</v>
      </c>
    </row>
    <row r="80" customFormat="false" ht="15" hidden="false" customHeight="true" outlineLevel="0" collapsed="false">
      <c r="A80" s="83" t="n">
        <f aca="false">'Prone 50m'!A80</f>
        <v>0</v>
      </c>
      <c r="B80" s="1" t="n">
        <f aca="false">'Prone 50m'!C80</f>
        <v>0</v>
      </c>
      <c r="C80" s="1" t="n">
        <f aca="false">'Prone 50m'!D80</f>
        <v>0</v>
      </c>
      <c r="D80" s="1" t="str">
        <f aca="false">'Prone 50m'!E80</f>
        <v/>
      </c>
      <c r="E80" s="1" t="str">
        <f aca="false">'Prone 50m'!F80</f>
        <v/>
      </c>
      <c r="F80" s="1" t="n">
        <f aca="false">IF('Prone 50m'!S80="",0,'Prone 50m'!S80)</f>
        <v>0</v>
      </c>
      <c r="G80" s="1" t="n">
        <f aca="false">IF('Prone 50m'!T80="",0,'Prone 50m'!T80)</f>
        <v>0</v>
      </c>
      <c r="H80" s="1" t="n">
        <f aca="false">IFERROR(YEAR('Prone 50m'!A80),"")</f>
        <v>1899</v>
      </c>
      <c r="I80" s="1" t="n">
        <f aca="false">IF(AND('Prone 50m'!D80&lt;&gt;"",'Prone 50m'!S80&lt;&gt;""),1,0)</f>
        <v>0</v>
      </c>
    </row>
    <row r="81" customFormat="false" ht="15" hidden="false" customHeight="true" outlineLevel="0" collapsed="false">
      <c r="A81" s="83" t="n">
        <f aca="false">'Prone 50m'!A81</f>
        <v>0</v>
      </c>
      <c r="B81" s="1" t="n">
        <f aca="false">'Prone 50m'!C81</f>
        <v>0</v>
      </c>
      <c r="C81" s="1" t="n">
        <f aca="false">'Prone 50m'!D81</f>
        <v>0</v>
      </c>
      <c r="D81" s="1" t="str">
        <f aca="false">'Prone 50m'!E81</f>
        <v/>
      </c>
      <c r="E81" s="1" t="str">
        <f aca="false">'Prone 50m'!F81</f>
        <v/>
      </c>
      <c r="F81" s="1" t="n">
        <f aca="false">IF('Prone 50m'!S81="",0,'Prone 50m'!S81)</f>
        <v>0</v>
      </c>
      <c r="G81" s="1" t="n">
        <f aca="false">IF('Prone 50m'!T81="",0,'Prone 50m'!T81)</f>
        <v>0</v>
      </c>
      <c r="H81" s="1" t="n">
        <f aca="false">IFERROR(YEAR('Prone 50m'!A81),"")</f>
        <v>1899</v>
      </c>
      <c r="I81" s="1" t="n">
        <f aca="false">IF(AND('Prone 50m'!D81&lt;&gt;"",'Prone 50m'!S81&lt;&gt;""),1,0)</f>
        <v>0</v>
      </c>
    </row>
    <row r="82" customFormat="false" ht="15" hidden="false" customHeight="true" outlineLevel="0" collapsed="false">
      <c r="A82" s="83" t="n">
        <f aca="false">'Prone 50m'!A82</f>
        <v>0</v>
      </c>
      <c r="B82" s="1" t="n">
        <f aca="false">'Prone 50m'!C82</f>
        <v>0</v>
      </c>
      <c r="C82" s="1" t="n">
        <f aca="false">'Prone 50m'!D82</f>
        <v>0</v>
      </c>
      <c r="D82" s="1" t="str">
        <f aca="false">'Prone 50m'!E82</f>
        <v/>
      </c>
      <c r="E82" s="1" t="str">
        <f aca="false">'Prone 50m'!F82</f>
        <v/>
      </c>
      <c r="F82" s="1" t="n">
        <f aca="false">IF('Prone 50m'!S82="",0,'Prone 50m'!S82)</f>
        <v>0</v>
      </c>
      <c r="G82" s="1" t="n">
        <f aca="false">IF('Prone 50m'!T82="",0,'Prone 50m'!T82)</f>
        <v>0</v>
      </c>
      <c r="H82" s="1" t="n">
        <f aca="false">IFERROR(YEAR('Prone 50m'!A82),"")</f>
        <v>1899</v>
      </c>
      <c r="I82" s="1" t="n">
        <f aca="false">IF(AND('Prone 50m'!D82&lt;&gt;"",'Prone 50m'!S82&lt;&gt;""),1,0)</f>
        <v>0</v>
      </c>
    </row>
    <row r="83" customFormat="false" ht="15" hidden="false" customHeight="true" outlineLevel="0" collapsed="false">
      <c r="A83" s="83" t="n">
        <f aca="false">'Prone 50m'!A83</f>
        <v>0</v>
      </c>
      <c r="B83" s="1" t="n">
        <f aca="false">'Prone 50m'!C83</f>
        <v>0</v>
      </c>
      <c r="C83" s="1" t="n">
        <f aca="false">'Prone 50m'!D83</f>
        <v>0</v>
      </c>
      <c r="D83" s="1" t="str">
        <f aca="false">'Prone 50m'!E83</f>
        <v/>
      </c>
      <c r="E83" s="1" t="str">
        <f aca="false">'Prone 50m'!F83</f>
        <v/>
      </c>
      <c r="F83" s="1" t="n">
        <f aca="false">IF('Prone 50m'!S83="",0,'Prone 50m'!S83)</f>
        <v>0</v>
      </c>
      <c r="G83" s="1" t="n">
        <f aca="false">IF('Prone 50m'!T83="",0,'Prone 50m'!T83)</f>
        <v>0</v>
      </c>
      <c r="H83" s="1" t="n">
        <f aca="false">IFERROR(YEAR('Prone 50m'!A83),"")</f>
        <v>1899</v>
      </c>
      <c r="I83" s="1" t="n">
        <f aca="false">IF(AND('Prone 50m'!D83&lt;&gt;"",'Prone 50m'!S83&lt;&gt;""),1,0)</f>
        <v>0</v>
      </c>
    </row>
    <row r="84" customFormat="false" ht="15" hidden="false" customHeight="true" outlineLevel="0" collapsed="false">
      <c r="A84" s="83" t="n">
        <f aca="false">'Prone 50m'!A84</f>
        <v>0</v>
      </c>
      <c r="B84" s="1" t="n">
        <f aca="false">'Prone 50m'!C84</f>
        <v>0</v>
      </c>
      <c r="C84" s="1" t="n">
        <f aca="false">'Prone 50m'!D84</f>
        <v>0</v>
      </c>
      <c r="D84" s="1" t="str">
        <f aca="false">'Prone 50m'!E84</f>
        <v/>
      </c>
      <c r="E84" s="1" t="str">
        <f aca="false">'Prone 50m'!F84</f>
        <v/>
      </c>
      <c r="F84" s="1" t="n">
        <f aca="false">IF('Prone 50m'!S84="",0,'Prone 50m'!S84)</f>
        <v>0</v>
      </c>
      <c r="G84" s="1" t="n">
        <f aca="false">IF('Prone 50m'!T84="",0,'Prone 50m'!T84)</f>
        <v>0</v>
      </c>
      <c r="H84" s="1" t="n">
        <f aca="false">IFERROR(YEAR('Prone 50m'!A84),"")</f>
        <v>1899</v>
      </c>
      <c r="I84" s="1" t="n">
        <f aca="false">IF(AND('Prone 50m'!D84&lt;&gt;"",'Prone 50m'!S84&lt;&gt;""),1,0)</f>
        <v>0</v>
      </c>
    </row>
    <row r="85" customFormat="false" ht="15" hidden="false" customHeight="true" outlineLevel="0" collapsed="false">
      <c r="A85" s="83" t="n">
        <f aca="false">'Prone 50m'!A85</f>
        <v>0</v>
      </c>
      <c r="B85" s="1" t="n">
        <f aca="false">'Prone 50m'!C85</f>
        <v>0</v>
      </c>
      <c r="C85" s="1" t="n">
        <f aca="false">'Prone 50m'!D85</f>
        <v>0</v>
      </c>
      <c r="D85" s="1" t="str">
        <f aca="false">'Prone 50m'!E85</f>
        <v/>
      </c>
      <c r="E85" s="1" t="str">
        <f aca="false">'Prone 50m'!F85</f>
        <v/>
      </c>
      <c r="F85" s="1" t="n">
        <f aca="false">IF('Prone 50m'!S85="",0,'Prone 50m'!S85)</f>
        <v>0</v>
      </c>
      <c r="G85" s="1" t="n">
        <f aca="false">IF('Prone 50m'!T85="",0,'Prone 50m'!T85)</f>
        <v>0</v>
      </c>
      <c r="H85" s="1" t="n">
        <f aca="false">IFERROR(YEAR('Prone 50m'!A85),"")</f>
        <v>1899</v>
      </c>
      <c r="I85" s="1" t="n">
        <f aca="false">IF(AND('Prone 50m'!D85&lt;&gt;"",'Prone 50m'!S85&lt;&gt;""),1,0)</f>
        <v>0</v>
      </c>
    </row>
    <row r="86" customFormat="false" ht="15" hidden="false" customHeight="true" outlineLevel="0" collapsed="false">
      <c r="A86" s="83" t="n">
        <f aca="false">'Prone 50m'!A86</f>
        <v>0</v>
      </c>
      <c r="B86" s="1" t="n">
        <f aca="false">'Prone 50m'!C86</f>
        <v>0</v>
      </c>
      <c r="C86" s="1" t="n">
        <f aca="false">'Prone 50m'!D86</f>
        <v>0</v>
      </c>
      <c r="D86" s="1" t="str">
        <f aca="false">'Prone 50m'!E86</f>
        <v/>
      </c>
      <c r="E86" s="1" t="str">
        <f aca="false">'Prone 50m'!F86</f>
        <v/>
      </c>
      <c r="F86" s="1" t="n">
        <f aca="false">IF('Prone 50m'!S86="",0,'Prone 50m'!S86)</f>
        <v>0</v>
      </c>
      <c r="G86" s="1" t="n">
        <f aca="false">IF('Prone 50m'!T86="",0,'Prone 50m'!T86)</f>
        <v>0</v>
      </c>
      <c r="H86" s="1" t="n">
        <f aca="false">IFERROR(YEAR('Prone 50m'!A86),"")</f>
        <v>1899</v>
      </c>
      <c r="I86" s="1" t="n">
        <f aca="false">IF(AND('Prone 50m'!D86&lt;&gt;"",'Prone 50m'!S86&lt;&gt;""),1,0)</f>
        <v>0</v>
      </c>
    </row>
    <row r="87" customFormat="false" ht="15" hidden="false" customHeight="true" outlineLevel="0" collapsed="false">
      <c r="A87" s="83" t="n">
        <f aca="false">'Prone 50m'!A87</f>
        <v>0</v>
      </c>
      <c r="B87" s="1" t="n">
        <f aca="false">'Prone 50m'!C87</f>
        <v>0</v>
      </c>
      <c r="C87" s="1" t="n">
        <f aca="false">'Prone 50m'!D87</f>
        <v>0</v>
      </c>
      <c r="D87" s="1" t="str">
        <f aca="false">'Prone 50m'!E87</f>
        <v/>
      </c>
      <c r="E87" s="1" t="str">
        <f aca="false">'Prone 50m'!F87</f>
        <v/>
      </c>
      <c r="F87" s="1" t="n">
        <f aca="false">IF('Prone 50m'!S87="",0,'Prone 50m'!S87)</f>
        <v>0</v>
      </c>
      <c r="G87" s="1" t="n">
        <f aca="false">IF('Prone 50m'!T87="",0,'Prone 50m'!T87)</f>
        <v>0</v>
      </c>
      <c r="H87" s="1" t="n">
        <f aca="false">IFERROR(YEAR('Prone 50m'!A87),"")</f>
        <v>1899</v>
      </c>
      <c r="I87" s="1" t="n">
        <f aca="false">IF(AND('Prone 50m'!D87&lt;&gt;"",'Prone 50m'!S87&lt;&gt;""),1,0)</f>
        <v>0</v>
      </c>
    </row>
    <row r="88" customFormat="false" ht="15" hidden="false" customHeight="true" outlineLevel="0" collapsed="false">
      <c r="A88" s="83" t="n">
        <f aca="false">'Prone 50m'!A88</f>
        <v>0</v>
      </c>
      <c r="B88" s="1" t="n">
        <f aca="false">'Prone 50m'!C88</f>
        <v>0</v>
      </c>
      <c r="C88" s="1" t="n">
        <f aca="false">'Prone 50m'!D88</f>
        <v>0</v>
      </c>
      <c r="D88" s="1" t="str">
        <f aca="false">'Prone 50m'!E88</f>
        <v/>
      </c>
      <c r="E88" s="1" t="str">
        <f aca="false">'Prone 50m'!F88</f>
        <v/>
      </c>
      <c r="F88" s="1" t="n">
        <f aca="false">IF('Prone 50m'!S88="",0,'Prone 50m'!S88)</f>
        <v>0</v>
      </c>
      <c r="G88" s="1" t="n">
        <f aca="false">IF('Prone 50m'!T88="",0,'Prone 50m'!T88)</f>
        <v>0</v>
      </c>
      <c r="H88" s="1" t="n">
        <f aca="false">IFERROR(YEAR('Prone 50m'!A88),"")</f>
        <v>1899</v>
      </c>
      <c r="I88" s="1" t="n">
        <f aca="false">IF(AND('Prone 50m'!D88&lt;&gt;"",'Prone 50m'!S88&lt;&gt;""),1,0)</f>
        <v>0</v>
      </c>
    </row>
    <row r="89" customFormat="false" ht="15" hidden="false" customHeight="true" outlineLevel="0" collapsed="false">
      <c r="A89" s="83" t="n">
        <f aca="false">'Prone 50m'!A89</f>
        <v>0</v>
      </c>
      <c r="B89" s="1" t="n">
        <f aca="false">'Prone 50m'!C89</f>
        <v>0</v>
      </c>
      <c r="C89" s="1" t="n">
        <f aca="false">'Prone 50m'!D89</f>
        <v>0</v>
      </c>
      <c r="D89" s="1" t="str">
        <f aca="false">'Prone 50m'!E89</f>
        <v/>
      </c>
      <c r="E89" s="1" t="str">
        <f aca="false">'Prone 50m'!F89</f>
        <v/>
      </c>
      <c r="F89" s="1" t="n">
        <f aca="false">IF('Prone 50m'!S89="",0,'Prone 50m'!S89)</f>
        <v>0</v>
      </c>
      <c r="G89" s="1" t="n">
        <f aca="false">IF('Prone 50m'!T89="",0,'Prone 50m'!T89)</f>
        <v>0</v>
      </c>
      <c r="H89" s="1" t="n">
        <f aca="false">IFERROR(YEAR('Prone 50m'!A89),"")</f>
        <v>1899</v>
      </c>
      <c r="I89" s="1" t="n">
        <f aca="false">IF(AND('Prone 50m'!D89&lt;&gt;"",'Prone 50m'!S89&lt;&gt;""),1,0)</f>
        <v>0</v>
      </c>
    </row>
    <row r="90" customFormat="false" ht="15" hidden="false" customHeight="true" outlineLevel="0" collapsed="false">
      <c r="A90" s="83" t="n">
        <f aca="false">'Prone 50m'!A90</f>
        <v>0</v>
      </c>
      <c r="B90" s="1" t="n">
        <f aca="false">'Prone 50m'!C90</f>
        <v>0</v>
      </c>
      <c r="C90" s="1" t="n">
        <f aca="false">'Prone 50m'!D90</f>
        <v>0</v>
      </c>
      <c r="D90" s="1" t="str">
        <f aca="false">'Prone 50m'!E90</f>
        <v/>
      </c>
      <c r="E90" s="1" t="str">
        <f aca="false">'Prone 50m'!F90</f>
        <v/>
      </c>
      <c r="F90" s="1" t="n">
        <f aca="false">IF('Prone 50m'!S90="",0,'Prone 50m'!S90)</f>
        <v>0</v>
      </c>
      <c r="G90" s="1" t="n">
        <f aca="false">IF('Prone 50m'!T90="",0,'Prone 50m'!T90)</f>
        <v>0</v>
      </c>
      <c r="H90" s="1" t="n">
        <f aca="false">IFERROR(YEAR('Prone 50m'!A90),"")</f>
        <v>1899</v>
      </c>
      <c r="I90" s="1" t="n">
        <f aca="false">IF(AND('Prone 50m'!D90&lt;&gt;"",'Prone 50m'!S90&lt;&gt;""),1,0)</f>
        <v>0</v>
      </c>
    </row>
    <row r="91" customFormat="false" ht="15" hidden="false" customHeight="true" outlineLevel="0" collapsed="false">
      <c r="A91" s="83" t="n">
        <f aca="false">'Prone 50m'!A91</f>
        <v>0</v>
      </c>
      <c r="B91" s="1" t="n">
        <f aca="false">'Prone 50m'!C91</f>
        <v>0</v>
      </c>
      <c r="C91" s="1" t="n">
        <f aca="false">'Prone 50m'!D91</f>
        <v>0</v>
      </c>
      <c r="D91" s="1" t="str">
        <f aca="false">'Prone 50m'!E91</f>
        <v/>
      </c>
      <c r="E91" s="1" t="str">
        <f aca="false">'Prone 50m'!F91</f>
        <v/>
      </c>
      <c r="F91" s="1" t="n">
        <f aca="false">IF('Prone 50m'!S91="",0,'Prone 50m'!S91)</f>
        <v>0</v>
      </c>
      <c r="G91" s="1" t="n">
        <f aca="false">IF('Prone 50m'!T91="",0,'Prone 50m'!T91)</f>
        <v>0</v>
      </c>
      <c r="H91" s="1" t="n">
        <f aca="false">IFERROR(YEAR('Prone 50m'!A91),"")</f>
        <v>1899</v>
      </c>
      <c r="I91" s="1" t="n">
        <f aca="false">IF(AND('Prone 50m'!D91&lt;&gt;"",'Prone 50m'!S91&lt;&gt;""),1,0)</f>
        <v>0</v>
      </c>
    </row>
    <row r="92" customFormat="false" ht="15" hidden="false" customHeight="true" outlineLevel="0" collapsed="false">
      <c r="A92" s="83" t="n">
        <f aca="false">'Prone 50m'!A92</f>
        <v>0</v>
      </c>
      <c r="B92" s="1" t="n">
        <f aca="false">'Prone 50m'!C92</f>
        <v>0</v>
      </c>
      <c r="C92" s="1" t="n">
        <f aca="false">'Prone 50m'!D92</f>
        <v>0</v>
      </c>
      <c r="D92" s="1" t="str">
        <f aca="false">'Prone 50m'!E92</f>
        <v/>
      </c>
      <c r="E92" s="1" t="str">
        <f aca="false">'Prone 50m'!F92</f>
        <v/>
      </c>
      <c r="F92" s="1" t="n">
        <f aca="false">IF('Prone 50m'!S92="",0,'Prone 50m'!S92)</f>
        <v>0</v>
      </c>
      <c r="G92" s="1" t="n">
        <f aca="false">IF('Prone 50m'!T92="",0,'Prone 50m'!T92)</f>
        <v>0</v>
      </c>
      <c r="H92" s="1" t="n">
        <f aca="false">IFERROR(YEAR('Prone 50m'!A92),"")</f>
        <v>1899</v>
      </c>
      <c r="I92" s="1" t="n">
        <f aca="false">IF(AND('Prone 50m'!D92&lt;&gt;"",'Prone 50m'!S92&lt;&gt;""),1,0)</f>
        <v>0</v>
      </c>
    </row>
    <row r="93" customFormat="false" ht="15" hidden="false" customHeight="true" outlineLevel="0" collapsed="false">
      <c r="A93" s="83" t="n">
        <f aca="false">'Prone 50m'!A93</f>
        <v>0</v>
      </c>
      <c r="B93" s="1" t="n">
        <f aca="false">'Prone 50m'!C93</f>
        <v>0</v>
      </c>
      <c r="C93" s="1" t="n">
        <f aca="false">'Prone 50m'!D93</f>
        <v>0</v>
      </c>
      <c r="D93" s="1" t="str">
        <f aca="false">'Prone 50m'!E93</f>
        <v/>
      </c>
      <c r="E93" s="1" t="str">
        <f aca="false">'Prone 50m'!F93</f>
        <v/>
      </c>
      <c r="F93" s="1" t="n">
        <f aca="false">IF('Prone 50m'!S93="",0,'Prone 50m'!S93)</f>
        <v>0</v>
      </c>
      <c r="G93" s="1" t="n">
        <f aca="false">IF('Prone 50m'!T93="",0,'Prone 50m'!T93)</f>
        <v>0</v>
      </c>
      <c r="H93" s="1" t="n">
        <f aca="false">IFERROR(YEAR('Prone 50m'!A93),"")</f>
        <v>1899</v>
      </c>
      <c r="I93" s="1" t="n">
        <f aca="false">IF(AND('Prone 50m'!D93&lt;&gt;"",'Prone 50m'!S93&lt;&gt;""),1,0)</f>
        <v>0</v>
      </c>
    </row>
    <row r="94" customFormat="false" ht="15" hidden="false" customHeight="true" outlineLevel="0" collapsed="false">
      <c r="A94" s="83" t="n">
        <f aca="false">'Prone 50m'!A94</f>
        <v>0</v>
      </c>
      <c r="B94" s="1" t="n">
        <f aca="false">'Prone 50m'!C94</f>
        <v>0</v>
      </c>
      <c r="C94" s="1" t="n">
        <f aca="false">'Prone 50m'!D94</f>
        <v>0</v>
      </c>
      <c r="D94" s="1" t="str">
        <f aca="false">'Prone 50m'!E94</f>
        <v/>
      </c>
      <c r="E94" s="1" t="str">
        <f aca="false">'Prone 50m'!F94</f>
        <v/>
      </c>
      <c r="F94" s="1" t="n">
        <f aca="false">IF('Prone 50m'!S94="",0,'Prone 50m'!S94)</f>
        <v>0</v>
      </c>
      <c r="G94" s="1" t="n">
        <f aca="false">IF('Prone 50m'!T94="",0,'Prone 50m'!T94)</f>
        <v>0</v>
      </c>
      <c r="H94" s="1" t="n">
        <f aca="false">IFERROR(YEAR('Prone 50m'!A94),"")</f>
        <v>1899</v>
      </c>
      <c r="I94" s="1" t="n">
        <f aca="false">IF(AND('Prone 50m'!D94&lt;&gt;"",'Prone 50m'!S94&lt;&gt;""),1,0)</f>
        <v>0</v>
      </c>
    </row>
    <row r="95" customFormat="false" ht="15" hidden="false" customHeight="true" outlineLevel="0" collapsed="false">
      <c r="A95" s="83" t="n">
        <f aca="false">'Prone 50m'!A95</f>
        <v>0</v>
      </c>
      <c r="B95" s="1" t="n">
        <f aca="false">'Prone 50m'!C95</f>
        <v>0</v>
      </c>
      <c r="C95" s="1" t="n">
        <f aca="false">'Prone 50m'!D95</f>
        <v>0</v>
      </c>
      <c r="D95" s="1" t="str">
        <f aca="false">'Prone 50m'!E95</f>
        <v/>
      </c>
      <c r="E95" s="1" t="str">
        <f aca="false">'Prone 50m'!F95</f>
        <v/>
      </c>
      <c r="F95" s="1" t="n">
        <f aca="false">IF('Prone 50m'!S95="",0,'Prone 50m'!S95)</f>
        <v>0</v>
      </c>
      <c r="G95" s="1" t="n">
        <f aca="false">IF('Prone 50m'!T95="",0,'Prone 50m'!T95)</f>
        <v>0</v>
      </c>
      <c r="H95" s="1" t="n">
        <f aca="false">IFERROR(YEAR('Prone 50m'!A95),"")</f>
        <v>1899</v>
      </c>
      <c r="I95" s="1" t="n">
        <f aca="false">IF(AND('Prone 50m'!D95&lt;&gt;"",'Prone 50m'!S95&lt;&gt;""),1,0)</f>
        <v>0</v>
      </c>
    </row>
    <row r="96" customFormat="false" ht="15" hidden="false" customHeight="true" outlineLevel="0" collapsed="false">
      <c r="A96" s="83" t="n">
        <f aca="false">'Prone 50m'!A96</f>
        <v>0</v>
      </c>
      <c r="B96" s="1" t="n">
        <f aca="false">'Prone 50m'!C96</f>
        <v>0</v>
      </c>
      <c r="C96" s="1" t="n">
        <f aca="false">'Prone 50m'!D96</f>
        <v>0</v>
      </c>
      <c r="D96" s="1" t="str">
        <f aca="false">'Prone 50m'!E96</f>
        <v/>
      </c>
      <c r="E96" s="1" t="str">
        <f aca="false">'Prone 50m'!F96</f>
        <v/>
      </c>
      <c r="F96" s="1" t="n">
        <f aca="false">IF('Prone 50m'!S96="",0,'Prone 50m'!S96)</f>
        <v>0</v>
      </c>
      <c r="G96" s="1" t="n">
        <f aca="false">IF('Prone 50m'!T96="",0,'Prone 50m'!T96)</f>
        <v>0</v>
      </c>
      <c r="H96" s="1" t="n">
        <f aca="false">IFERROR(YEAR('Prone 50m'!A96),"")</f>
        <v>1899</v>
      </c>
      <c r="I96" s="1" t="n">
        <f aca="false">IF(AND('Prone 50m'!D96&lt;&gt;"",'Prone 50m'!S96&lt;&gt;""),1,0)</f>
        <v>0</v>
      </c>
    </row>
    <row r="97" customFormat="false" ht="15" hidden="false" customHeight="true" outlineLevel="0" collapsed="false">
      <c r="A97" s="83" t="n">
        <f aca="false">'Prone 50m'!A97</f>
        <v>0</v>
      </c>
      <c r="B97" s="1" t="n">
        <f aca="false">'Prone 50m'!C97</f>
        <v>0</v>
      </c>
      <c r="C97" s="1" t="n">
        <f aca="false">'Prone 50m'!D97</f>
        <v>0</v>
      </c>
      <c r="D97" s="1" t="str">
        <f aca="false">'Prone 50m'!E97</f>
        <v/>
      </c>
      <c r="E97" s="1" t="str">
        <f aca="false">'Prone 50m'!F97</f>
        <v/>
      </c>
      <c r="F97" s="1" t="n">
        <f aca="false">IF('Prone 50m'!S97="",0,'Prone 50m'!S97)</f>
        <v>0</v>
      </c>
      <c r="G97" s="1" t="n">
        <f aca="false">IF('Prone 50m'!T97="",0,'Prone 50m'!T97)</f>
        <v>0</v>
      </c>
      <c r="H97" s="1" t="n">
        <f aca="false">IFERROR(YEAR('Prone 50m'!A97),"")</f>
        <v>1899</v>
      </c>
      <c r="I97" s="1" t="n">
        <f aca="false">IF(AND('Prone 50m'!D97&lt;&gt;"",'Prone 50m'!S97&lt;&gt;""),1,0)</f>
        <v>0</v>
      </c>
    </row>
    <row r="98" customFormat="false" ht="15" hidden="false" customHeight="true" outlineLevel="0" collapsed="false">
      <c r="A98" s="83" t="n">
        <f aca="false">'Prone 50m'!A98</f>
        <v>0</v>
      </c>
      <c r="B98" s="1" t="n">
        <f aca="false">'Prone 50m'!C98</f>
        <v>0</v>
      </c>
      <c r="C98" s="1" t="n">
        <f aca="false">'Prone 50m'!D98</f>
        <v>0</v>
      </c>
      <c r="D98" s="1" t="str">
        <f aca="false">'Prone 50m'!E98</f>
        <v/>
      </c>
      <c r="E98" s="1" t="str">
        <f aca="false">'Prone 50m'!F98</f>
        <v/>
      </c>
      <c r="F98" s="1" t="n">
        <f aca="false">IF('Prone 50m'!S98="",0,'Prone 50m'!S98)</f>
        <v>0</v>
      </c>
      <c r="G98" s="1" t="n">
        <f aca="false">IF('Prone 50m'!T98="",0,'Prone 50m'!T98)</f>
        <v>0</v>
      </c>
      <c r="H98" s="1" t="n">
        <f aca="false">IFERROR(YEAR('Prone 50m'!A98),"")</f>
        <v>1899</v>
      </c>
      <c r="I98" s="1" t="n">
        <f aca="false">IF(AND('Prone 50m'!D98&lt;&gt;"",'Prone 50m'!S98&lt;&gt;""),1,0)</f>
        <v>0</v>
      </c>
    </row>
    <row r="99" customFormat="false" ht="15" hidden="false" customHeight="true" outlineLevel="0" collapsed="false">
      <c r="A99" s="83" t="n">
        <f aca="false">'Prone 50m'!A99</f>
        <v>0</v>
      </c>
      <c r="B99" s="1" t="n">
        <f aca="false">'Prone 50m'!C99</f>
        <v>0</v>
      </c>
      <c r="C99" s="1" t="n">
        <f aca="false">'Prone 50m'!D99</f>
        <v>0</v>
      </c>
      <c r="D99" s="1" t="str">
        <f aca="false">'Prone 50m'!E99</f>
        <v/>
      </c>
      <c r="E99" s="1" t="str">
        <f aca="false">'Prone 50m'!F99</f>
        <v/>
      </c>
      <c r="F99" s="1" t="n">
        <f aca="false">IF('Prone 50m'!S99="",0,'Prone 50m'!S99)</f>
        <v>0</v>
      </c>
      <c r="G99" s="1" t="n">
        <f aca="false">IF('Prone 50m'!T99="",0,'Prone 50m'!T99)</f>
        <v>0</v>
      </c>
      <c r="H99" s="1" t="n">
        <f aca="false">IFERROR(YEAR('Prone 50m'!A99),"")</f>
        <v>1899</v>
      </c>
      <c r="I99" s="1" t="n">
        <f aca="false">IF(AND('Prone 50m'!D99&lt;&gt;"",'Prone 50m'!S99&lt;&gt;""),1,0)</f>
        <v>0</v>
      </c>
    </row>
    <row r="100" customFormat="false" ht="15" hidden="false" customHeight="true" outlineLevel="0" collapsed="false">
      <c r="A100" s="83" t="n">
        <f aca="false">'Prone 50m'!A100</f>
        <v>0</v>
      </c>
      <c r="B100" s="1" t="n">
        <f aca="false">'Prone 50m'!C100</f>
        <v>0</v>
      </c>
      <c r="C100" s="1" t="n">
        <f aca="false">'Prone 50m'!D100</f>
        <v>0</v>
      </c>
      <c r="D100" s="1" t="str">
        <f aca="false">'Prone 50m'!E100</f>
        <v/>
      </c>
      <c r="E100" s="1" t="str">
        <f aca="false">'Prone 50m'!F100</f>
        <v/>
      </c>
      <c r="F100" s="1" t="n">
        <f aca="false">IF('Prone 50m'!S100="",0,'Prone 50m'!S100)</f>
        <v>0</v>
      </c>
      <c r="G100" s="1" t="n">
        <f aca="false">IF('Prone 50m'!T100="",0,'Prone 50m'!T100)</f>
        <v>0</v>
      </c>
      <c r="H100" s="1" t="n">
        <f aca="false">IFERROR(YEAR('Prone 50m'!A100),"")</f>
        <v>1899</v>
      </c>
      <c r="I100" s="1" t="n">
        <f aca="false">IF(AND('Prone 50m'!D100&lt;&gt;"",'Prone 50m'!S100&lt;&gt;""),1,0)</f>
        <v>0</v>
      </c>
    </row>
    <row r="101" customFormat="false" ht="15" hidden="false" customHeight="true" outlineLevel="0" collapsed="false">
      <c r="A101" s="83" t="n">
        <f aca="false">'Prone 50m'!A101</f>
        <v>0</v>
      </c>
      <c r="B101" s="1" t="n">
        <f aca="false">'Prone 50m'!C101</f>
        <v>0</v>
      </c>
      <c r="C101" s="1" t="n">
        <f aca="false">'Prone 50m'!D101</f>
        <v>0</v>
      </c>
      <c r="D101" s="1" t="str">
        <f aca="false">'Prone 50m'!E101</f>
        <v/>
      </c>
      <c r="E101" s="1" t="str">
        <f aca="false">'Prone 50m'!F101</f>
        <v/>
      </c>
      <c r="F101" s="1" t="n">
        <f aca="false">IF('Prone 50m'!S101="",0,'Prone 50m'!S101)</f>
        <v>0</v>
      </c>
      <c r="G101" s="1" t="n">
        <f aca="false">IF('Prone 50m'!T101="",0,'Prone 50m'!T101)</f>
        <v>0</v>
      </c>
      <c r="H101" s="1" t="n">
        <f aca="false">IFERROR(YEAR('Prone 50m'!A101),"")</f>
        <v>1899</v>
      </c>
      <c r="I101" s="1" t="n">
        <f aca="false">IF(AND('Prone 50m'!D101&lt;&gt;"",'Prone 50m'!S101&lt;&gt;""),1,0)</f>
        <v>0</v>
      </c>
    </row>
    <row r="102" customFormat="false" ht="15" hidden="false" customHeight="true" outlineLevel="0" collapsed="false">
      <c r="A102" s="83" t="str">
        <f aca="false">'F-Class'!A2</f>
        <v>2026-05-16</v>
      </c>
      <c r="B102" s="1" t="str">
        <f aca="false">'F-Class'!C2</f>
        <v>fclass_open</v>
      </c>
      <c r="C102" s="1" t="str">
        <f aca="false">'F-Class'!D2</f>
        <v>Pieter van Wyk</v>
      </c>
      <c r="D102" s="1" t="str">
        <f aca="false">'F-Class'!E2</f>
        <v>Pretoria RC</v>
      </c>
      <c r="E102" s="1" t="str">
        <f aca="false">'F-Class'!F2</f>
        <v>open</v>
      </c>
      <c r="F102" s="85" t="n">
        <f aca="false">IF('F-Class'!S2="",0,'F-Class'!S2)</f>
        <v>591</v>
      </c>
      <c r="G102" s="86" t="n">
        <f aca="false">IF('F-Class'!T2="",0,'F-Class'!T2)</f>
        <v>291</v>
      </c>
      <c r="H102" s="1" t="n">
        <f aca="false">IFERROR(YEAR('F-Class'!A2),"")</f>
        <v>2026</v>
      </c>
      <c r="I102" s="1" t="n">
        <f aca="false">IF(AND('F-Class'!D2&lt;&gt;"",'F-Class'!S2&lt;&gt;""),1,0)</f>
        <v>1</v>
      </c>
    </row>
    <row r="103" customFormat="false" ht="15" hidden="false" customHeight="true" outlineLevel="0" collapsed="false">
      <c r="A103" s="83" t="n">
        <f aca="false">'F-Class'!A3</f>
        <v>0</v>
      </c>
      <c r="B103" s="1" t="n">
        <f aca="false">'F-Class'!C3</f>
        <v>0</v>
      </c>
      <c r="C103" s="1" t="n">
        <f aca="false">'F-Class'!D3</f>
        <v>0</v>
      </c>
      <c r="D103" s="1" t="str">
        <f aca="false">'F-Class'!E3</f>
        <v/>
      </c>
      <c r="E103" s="1" t="str">
        <f aca="false">'F-Class'!F3</f>
        <v/>
      </c>
      <c r="F103" s="1" t="n">
        <f aca="false">IF('F-Class'!S3="",0,'F-Class'!S3)</f>
        <v>0</v>
      </c>
      <c r="G103" s="1" t="n">
        <f aca="false">IF('F-Class'!T3="",0,'F-Class'!T3)</f>
        <v>0</v>
      </c>
      <c r="H103" s="1" t="n">
        <f aca="false">IFERROR(YEAR('F-Class'!A3),"")</f>
        <v>1899</v>
      </c>
      <c r="I103" s="1" t="n">
        <f aca="false">IF(AND('F-Class'!D3&lt;&gt;"",'F-Class'!S3&lt;&gt;""),1,0)</f>
        <v>0</v>
      </c>
    </row>
    <row r="104" customFormat="false" ht="15" hidden="false" customHeight="true" outlineLevel="0" collapsed="false">
      <c r="A104" s="83" t="n">
        <f aca="false">'F-Class'!A4</f>
        <v>0</v>
      </c>
      <c r="B104" s="1" t="n">
        <f aca="false">'F-Class'!C4</f>
        <v>0</v>
      </c>
      <c r="C104" s="1" t="n">
        <f aca="false">'F-Class'!D4</f>
        <v>0</v>
      </c>
      <c r="D104" s="1" t="str">
        <f aca="false">'F-Class'!E4</f>
        <v/>
      </c>
      <c r="E104" s="1" t="str">
        <f aca="false">'F-Class'!F4</f>
        <v/>
      </c>
      <c r="F104" s="1" t="n">
        <f aca="false">IF('F-Class'!S4="",0,'F-Class'!S4)</f>
        <v>0</v>
      </c>
      <c r="G104" s="1" t="n">
        <f aca="false">IF('F-Class'!T4="",0,'F-Class'!T4)</f>
        <v>0</v>
      </c>
      <c r="H104" s="1" t="n">
        <f aca="false">IFERROR(YEAR('F-Class'!A4),"")</f>
        <v>1899</v>
      </c>
      <c r="I104" s="1" t="n">
        <f aca="false">IF(AND('F-Class'!D4&lt;&gt;"",'F-Class'!S4&lt;&gt;""),1,0)</f>
        <v>0</v>
      </c>
    </row>
    <row r="105" customFormat="false" ht="15" hidden="false" customHeight="true" outlineLevel="0" collapsed="false">
      <c r="A105" s="83" t="n">
        <f aca="false">'F-Class'!A5</f>
        <v>0</v>
      </c>
      <c r="B105" s="1" t="n">
        <f aca="false">'F-Class'!C5</f>
        <v>0</v>
      </c>
      <c r="C105" s="1" t="n">
        <f aca="false">'F-Class'!D5</f>
        <v>0</v>
      </c>
      <c r="D105" s="1" t="str">
        <f aca="false">'F-Class'!E5</f>
        <v/>
      </c>
      <c r="E105" s="1" t="str">
        <f aca="false">'F-Class'!F5</f>
        <v/>
      </c>
      <c r="F105" s="1" t="n">
        <f aca="false">IF('F-Class'!S5="",0,'F-Class'!S5)</f>
        <v>0</v>
      </c>
      <c r="G105" s="1" t="n">
        <f aca="false">IF('F-Class'!T5="",0,'F-Class'!T5)</f>
        <v>0</v>
      </c>
      <c r="H105" s="1" t="n">
        <f aca="false">IFERROR(YEAR('F-Class'!A5),"")</f>
        <v>1899</v>
      </c>
      <c r="I105" s="1" t="n">
        <f aca="false">IF(AND('F-Class'!D5&lt;&gt;"",'F-Class'!S5&lt;&gt;""),1,0)</f>
        <v>0</v>
      </c>
    </row>
    <row r="106" customFormat="false" ht="15" hidden="false" customHeight="true" outlineLevel="0" collapsed="false">
      <c r="A106" s="83" t="n">
        <f aca="false">'F-Class'!A6</f>
        <v>0</v>
      </c>
      <c r="B106" s="1" t="n">
        <f aca="false">'F-Class'!C6</f>
        <v>0</v>
      </c>
      <c r="C106" s="1" t="n">
        <f aca="false">'F-Class'!D6</f>
        <v>0</v>
      </c>
      <c r="D106" s="1" t="str">
        <f aca="false">'F-Class'!E6</f>
        <v/>
      </c>
      <c r="E106" s="1" t="str">
        <f aca="false">'F-Class'!F6</f>
        <v/>
      </c>
      <c r="F106" s="1" t="n">
        <f aca="false">IF('F-Class'!S6="",0,'F-Class'!S6)</f>
        <v>0</v>
      </c>
      <c r="G106" s="1" t="n">
        <f aca="false">IF('F-Class'!T6="",0,'F-Class'!T6)</f>
        <v>0</v>
      </c>
      <c r="H106" s="1" t="n">
        <f aca="false">IFERROR(YEAR('F-Class'!A6),"")</f>
        <v>1899</v>
      </c>
      <c r="I106" s="1" t="n">
        <f aca="false">IF(AND('F-Class'!D6&lt;&gt;"",'F-Class'!S6&lt;&gt;""),1,0)</f>
        <v>0</v>
      </c>
    </row>
    <row r="107" customFormat="false" ht="15" hidden="false" customHeight="true" outlineLevel="0" collapsed="false">
      <c r="A107" s="83" t="n">
        <f aca="false">'F-Class'!A7</f>
        <v>0</v>
      </c>
      <c r="B107" s="1" t="n">
        <f aca="false">'F-Class'!C7</f>
        <v>0</v>
      </c>
      <c r="C107" s="1" t="n">
        <f aca="false">'F-Class'!D7</f>
        <v>0</v>
      </c>
      <c r="D107" s="1" t="str">
        <f aca="false">'F-Class'!E7</f>
        <v/>
      </c>
      <c r="E107" s="1" t="str">
        <f aca="false">'F-Class'!F7</f>
        <v/>
      </c>
      <c r="F107" s="1" t="n">
        <f aca="false">IF('F-Class'!S7="",0,'F-Class'!S7)</f>
        <v>0</v>
      </c>
      <c r="G107" s="1" t="n">
        <f aca="false">IF('F-Class'!T7="",0,'F-Class'!T7)</f>
        <v>0</v>
      </c>
      <c r="H107" s="1" t="n">
        <f aca="false">IFERROR(YEAR('F-Class'!A7),"")</f>
        <v>1899</v>
      </c>
      <c r="I107" s="1" t="n">
        <f aca="false">IF(AND('F-Class'!D7&lt;&gt;"",'F-Class'!S7&lt;&gt;""),1,0)</f>
        <v>0</v>
      </c>
    </row>
    <row r="108" customFormat="false" ht="15" hidden="false" customHeight="true" outlineLevel="0" collapsed="false">
      <c r="A108" s="83" t="n">
        <f aca="false">'F-Class'!A8</f>
        <v>0</v>
      </c>
      <c r="B108" s="1" t="n">
        <f aca="false">'F-Class'!C8</f>
        <v>0</v>
      </c>
      <c r="C108" s="1" t="n">
        <f aca="false">'F-Class'!D8</f>
        <v>0</v>
      </c>
      <c r="D108" s="1" t="str">
        <f aca="false">'F-Class'!E8</f>
        <v/>
      </c>
      <c r="E108" s="1" t="str">
        <f aca="false">'F-Class'!F8</f>
        <v/>
      </c>
      <c r="F108" s="1" t="n">
        <f aca="false">IF('F-Class'!S8="",0,'F-Class'!S8)</f>
        <v>0</v>
      </c>
      <c r="G108" s="1" t="n">
        <f aca="false">IF('F-Class'!T8="",0,'F-Class'!T8)</f>
        <v>0</v>
      </c>
      <c r="H108" s="1" t="n">
        <f aca="false">IFERROR(YEAR('F-Class'!A8),"")</f>
        <v>1899</v>
      </c>
      <c r="I108" s="1" t="n">
        <f aca="false">IF(AND('F-Class'!D8&lt;&gt;"",'F-Class'!S8&lt;&gt;""),1,0)</f>
        <v>0</v>
      </c>
    </row>
    <row r="109" customFormat="false" ht="15" hidden="false" customHeight="true" outlineLevel="0" collapsed="false">
      <c r="A109" s="83" t="n">
        <f aca="false">'F-Class'!A9</f>
        <v>0</v>
      </c>
      <c r="B109" s="1" t="n">
        <f aca="false">'F-Class'!C9</f>
        <v>0</v>
      </c>
      <c r="C109" s="1" t="n">
        <f aca="false">'F-Class'!D9</f>
        <v>0</v>
      </c>
      <c r="D109" s="1" t="str">
        <f aca="false">'F-Class'!E9</f>
        <v/>
      </c>
      <c r="E109" s="1" t="str">
        <f aca="false">'F-Class'!F9</f>
        <v/>
      </c>
      <c r="F109" s="1" t="n">
        <f aca="false">IF('F-Class'!S9="",0,'F-Class'!S9)</f>
        <v>0</v>
      </c>
      <c r="G109" s="1" t="n">
        <f aca="false">IF('F-Class'!T9="",0,'F-Class'!T9)</f>
        <v>0</v>
      </c>
      <c r="H109" s="1" t="n">
        <f aca="false">IFERROR(YEAR('F-Class'!A9),"")</f>
        <v>1899</v>
      </c>
      <c r="I109" s="1" t="n">
        <f aca="false">IF(AND('F-Class'!D9&lt;&gt;"",'F-Class'!S9&lt;&gt;""),1,0)</f>
        <v>0</v>
      </c>
    </row>
    <row r="110" customFormat="false" ht="15" hidden="false" customHeight="true" outlineLevel="0" collapsed="false">
      <c r="A110" s="83" t="n">
        <f aca="false">'F-Class'!A10</f>
        <v>0</v>
      </c>
      <c r="B110" s="1" t="n">
        <f aca="false">'F-Class'!C10</f>
        <v>0</v>
      </c>
      <c r="C110" s="1" t="n">
        <f aca="false">'F-Class'!D10</f>
        <v>0</v>
      </c>
      <c r="D110" s="1" t="str">
        <f aca="false">'F-Class'!E10</f>
        <v/>
      </c>
      <c r="E110" s="1" t="str">
        <f aca="false">'F-Class'!F10</f>
        <v/>
      </c>
      <c r="F110" s="1" t="n">
        <f aca="false">IF('F-Class'!S10="",0,'F-Class'!S10)</f>
        <v>0</v>
      </c>
      <c r="G110" s="1" t="n">
        <f aca="false">IF('F-Class'!T10="",0,'F-Class'!T10)</f>
        <v>0</v>
      </c>
      <c r="H110" s="1" t="n">
        <f aca="false">IFERROR(YEAR('F-Class'!A10),"")</f>
        <v>1899</v>
      </c>
      <c r="I110" s="1" t="n">
        <f aca="false">IF(AND('F-Class'!D10&lt;&gt;"",'F-Class'!S10&lt;&gt;""),1,0)</f>
        <v>0</v>
      </c>
    </row>
    <row r="111" customFormat="false" ht="15" hidden="false" customHeight="true" outlineLevel="0" collapsed="false">
      <c r="A111" s="83" t="n">
        <f aca="false">'F-Class'!A11</f>
        <v>0</v>
      </c>
      <c r="B111" s="1" t="n">
        <f aca="false">'F-Class'!C11</f>
        <v>0</v>
      </c>
      <c r="C111" s="1" t="n">
        <f aca="false">'F-Class'!D11</f>
        <v>0</v>
      </c>
      <c r="D111" s="1" t="str">
        <f aca="false">'F-Class'!E11</f>
        <v/>
      </c>
      <c r="E111" s="1" t="str">
        <f aca="false">'F-Class'!F11</f>
        <v/>
      </c>
      <c r="F111" s="1" t="n">
        <f aca="false">IF('F-Class'!S11="",0,'F-Class'!S11)</f>
        <v>0</v>
      </c>
      <c r="G111" s="1" t="n">
        <f aca="false">IF('F-Class'!T11="",0,'F-Class'!T11)</f>
        <v>0</v>
      </c>
      <c r="H111" s="1" t="n">
        <f aca="false">IFERROR(YEAR('F-Class'!A11),"")</f>
        <v>1899</v>
      </c>
      <c r="I111" s="1" t="n">
        <f aca="false">IF(AND('F-Class'!D11&lt;&gt;"",'F-Class'!S11&lt;&gt;""),1,0)</f>
        <v>0</v>
      </c>
    </row>
    <row r="112" customFormat="false" ht="15" hidden="false" customHeight="true" outlineLevel="0" collapsed="false">
      <c r="A112" s="83" t="n">
        <f aca="false">'F-Class'!A12</f>
        <v>0</v>
      </c>
      <c r="B112" s="1" t="n">
        <f aca="false">'F-Class'!C12</f>
        <v>0</v>
      </c>
      <c r="C112" s="1" t="n">
        <f aca="false">'F-Class'!D12</f>
        <v>0</v>
      </c>
      <c r="D112" s="1" t="str">
        <f aca="false">'F-Class'!E12</f>
        <v/>
      </c>
      <c r="E112" s="1" t="str">
        <f aca="false">'F-Class'!F12</f>
        <v/>
      </c>
      <c r="F112" s="1" t="n">
        <f aca="false">IF('F-Class'!S12="",0,'F-Class'!S12)</f>
        <v>0</v>
      </c>
      <c r="G112" s="1" t="n">
        <f aca="false">IF('F-Class'!T12="",0,'F-Class'!T12)</f>
        <v>0</v>
      </c>
      <c r="H112" s="1" t="n">
        <f aca="false">IFERROR(YEAR('F-Class'!A12),"")</f>
        <v>1899</v>
      </c>
      <c r="I112" s="1" t="n">
        <f aca="false">IF(AND('F-Class'!D12&lt;&gt;"",'F-Class'!S12&lt;&gt;""),1,0)</f>
        <v>0</v>
      </c>
    </row>
    <row r="113" customFormat="false" ht="15" hidden="false" customHeight="true" outlineLevel="0" collapsed="false">
      <c r="A113" s="83" t="n">
        <f aca="false">'F-Class'!A13</f>
        <v>0</v>
      </c>
      <c r="B113" s="1" t="n">
        <f aca="false">'F-Class'!C13</f>
        <v>0</v>
      </c>
      <c r="C113" s="1" t="n">
        <f aca="false">'F-Class'!D13</f>
        <v>0</v>
      </c>
      <c r="D113" s="1" t="str">
        <f aca="false">'F-Class'!E13</f>
        <v/>
      </c>
      <c r="E113" s="1" t="str">
        <f aca="false">'F-Class'!F13</f>
        <v/>
      </c>
      <c r="F113" s="1" t="n">
        <f aca="false">IF('F-Class'!S13="",0,'F-Class'!S13)</f>
        <v>0</v>
      </c>
      <c r="G113" s="1" t="n">
        <f aca="false">IF('F-Class'!T13="",0,'F-Class'!T13)</f>
        <v>0</v>
      </c>
      <c r="H113" s="1" t="n">
        <f aca="false">IFERROR(YEAR('F-Class'!A13),"")</f>
        <v>1899</v>
      </c>
      <c r="I113" s="1" t="n">
        <f aca="false">IF(AND('F-Class'!D13&lt;&gt;"",'F-Class'!S13&lt;&gt;""),1,0)</f>
        <v>0</v>
      </c>
    </row>
    <row r="114" customFormat="false" ht="15" hidden="false" customHeight="true" outlineLevel="0" collapsed="false">
      <c r="A114" s="83" t="n">
        <f aca="false">'F-Class'!A14</f>
        <v>0</v>
      </c>
      <c r="B114" s="1" t="n">
        <f aca="false">'F-Class'!C14</f>
        <v>0</v>
      </c>
      <c r="C114" s="1" t="n">
        <f aca="false">'F-Class'!D14</f>
        <v>0</v>
      </c>
      <c r="D114" s="1" t="str">
        <f aca="false">'F-Class'!E14</f>
        <v/>
      </c>
      <c r="E114" s="1" t="str">
        <f aca="false">'F-Class'!F14</f>
        <v/>
      </c>
      <c r="F114" s="1" t="n">
        <f aca="false">IF('F-Class'!S14="",0,'F-Class'!S14)</f>
        <v>0</v>
      </c>
      <c r="G114" s="1" t="n">
        <f aca="false">IF('F-Class'!T14="",0,'F-Class'!T14)</f>
        <v>0</v>
      </c>
      <c r="H114" s="1" t="n">
        <f aca="false">IFERROR(YEAR('F-Class'!A14),"")</f>
        <v>1899</v>
      </c>
      <c r="I114" s="1" t="n">
        <f aca="false">IF(AND('F-Class'!D14&lt;&gt;"",'F-Class'!S14&lt;&gt;""),1,0)</f>
        <v>0</v>
      </c>
    </row>
    <row r="115" customFormat="false" ht="15" hidden="false" customHeight="true" outlineLevel="0" collapsed="false">
      <c r="A115" s="83" t="n">
        <f aca="false">'F-Class'!A15</f>
        <v>0</v>
      </c>
      <c r="B115" s="1" t="n">
        <f aca="false">'F-Class'!C15</f>
        <v>0</v>
      </c>
      <c r="C115" s="1" t="n">
        <f aca="false">'F-Class'!D15</f>
        <v>0</v>
      </c>
      <c r="D115" s="1" t="str">
        <f aca="false">'F-Class'!E15</f>
        <v/>
      </c>
      <c r="E115" s="1" t="str">
        <f aca="false">'F-Class'!F15</f>
        <v/>
      </c>
      <c r="F115" s="1" t="n">
        <f aca="false">IF('F-Class'!S15="",0,'F-Class'!S15)</f>
        <v>0</v>
      </c>
      <c r="G115" s="1" t="n">
        <f aca="false">IF('F-Class'!T15="",0,'F-Class'!T15)</f>
        <v>0</v>
      </c>
      <c r="H115" s="1" t="n">
        <f aca="false">IFERROR(YEAR('F-Class'!A15),"")</f>
        <v>1899</v>
      </c>
      <c r="I115" s="1" t="n">
        <f aca="false">IF(AND('F-Class'!D15&lt;&gt;"",'F-Class'!S15&lt;&gt;""),1,0)</f>
        <v>0</v>
      </c>
    </row>
    <row r="116" customFormat="false" ht="15" hidden="false" customHeight="true" outlineLevel="0" collapsed="false">
      <c r="A116" s="83" t="n">
        <f aca="false">'F-Class'!A16</f>
        <v>0</v>
      </c>
      <c r="B116" s="1" t="n">
        <f aca="false">'F-Class'!C16</f>
        <v>0</v>
      </c>
      <c r="C116" s="1" t="n">
        <f aca="false">'F-Class'!D16</f>
        <v>0</v>
      </c>
      <c r="D116" s="1" t="str">
        <f aca="false">'F-Class'!E16</f>
        <v/>
      </c>
      <c r="E116" s="1" t="str">
        <f aca="false">'F-Class'!F16</f>
        <v/>
      </c>
      <c r="F116" s="1" t="n">
        <f aca="false">IF('F-Class'!S16="",0,'F-Class'!S16)</f>
        <v>0</v>
      </c>
      <c r="G116" s="1" t="n">
        <f aca="false">IF('F-Class'!T16="",0,'F-Class'!T16)</f>
        <v>0</v>
      </c>
      <c r="H116" s="1" t="n">
        <f aca="false">IFERROR(YEAR('F-Class'!A16),"")</f>
        <v>1899</v>
      </c>
      <c r="I116" s="1" t="n">
        <f aca="false">IF(AND('F-Class'!D16&lt;&gt;"",'F-Class'!S16&lt;&gt;""),1,0)</f>
        <v>0</v>
      </c>
    </row>
    <row r="117" customFormat="false" ht="15" hidden="false" customHeight="true" outlineLevel="0" collapsed="false">
      <c r="A117" s="83" t="n">
        <f aca="false">'F-Class'!A17</f>
        <v>0</v>
      </c>
      <c r="B117" s="1" t="n">
        <f aca="false">'F-Class'!C17</f>
        <v>0</v>
      </c>
      <c r="C117" s="1" t="n">
        <f aca="false">'F-Class'!D17</f>
        <v>0</v>
      </c>
      <c r="D117" s="1" t="str">
        <f aca="false">'F-Class'!E17</f>
        <v/>
      </c>
      <c r="E117" s="1" t="str">
        <f aca="false">'F-Class'!F17</f>
        <v/>
      </c>
      <c r="F117" s="1" t="n">
        <f aca="false">IF('F-Class'!S17="",0,'F-Class'!S17)</f>
        <v>0</v>
      </c>
      <c r="G117" s="1" t="n">
        <f aca="false">IF('F-Class'!T17="",0,'F-Class'!T17)</f>
        <v>0</v>
      </c>
      <c r="H117" s="1" t="n">
        <f aca="false">IFERROR(YEAR('F-Class'!A17),"")</f>
        <v>1899</v>
      </c>
      <c r="I117" s="1" t="n">
        <f aca="false">IF(AND('F-Class'!D17&lt;&gt;"",'F-Class'!S17&lt;&gt;""),1,0)</f>
        <v>0</v>
      </c>
    </row>
    <row r="118" customFormat="false" ht="15" hidden="false" customHeight="true" outlineLevel="0" collapsed="false">
      <c r="A118" s="83" t="n">
        <f aca="false">'F-Class'!A18</f>
        <v>0</v>
      </c>
      <c r="B118" s="1" t="n">
        <f aca="false">'F-Class'!C18</f>
        <v>0</v>
      </c>
      <c r="C118" s="1" t="n">
        <f aca="false">'F-Class'!D18</f>
        <v>0</v>
      </c>
      <c r="D118" s="1" t="str">
        <f aca="false">'F-Class'!E18</f>
        <v/>
      </c>
      <c r="E118" s="1" t="str">
        <f aca="false">'F-Class'!F18</f>
        <v/>
      </c>
      <c r="F118" s="1" t="n">
        <f aca="false">IF('F-Class'!S18="",0,'F-Class'!S18)</f>
        <v>0</v>
      </c>
      <c r="G118" s="1" t="n">
        <f aca="false">IF('F-Class'!T18="",0,'F-Class'!T18)</f>
        <v>0</v>
      </c>
      <c r="H118" s="1" t="n">
        <f aca="false">IFERROR(YEAR('F-Class'!A18),"")</f>
        <v>1899</v>
      </c>
      <c r="I118" s="1" t="n">
        <f aca="false">IF(AND('F-Class'!D18&lt;&gt;"",'F-Class'!S18&lt;&gt;""),1,0)</f>
        <v>0</v>
      </c>
    </row>
    <row r="119" customFormat="false" ht="15" hidden="false" customHeight="true" outlineLevel="0" collapsed="false">
      <c r="A119" s="83" t="n">
        <f aca="false">'F-Class'!A19</f>
        <v>0</v>
      </c>
      <c r="B119" s="1" t="n">
        <f aca="false">'F-Class'!C19</f>
        <v>0</v>
      </c>
      <c r="C119" s="1" t="n">
        <f aca="false">'F-Class'!D19</f>
        <v>0</v>
      </c>
      <c r="D119" s="1" t="str">
        <f aca="false">'F-Class'!E19</f>
        <v/>
      </c>
      <c r="E119" s="1" t="str">
        <f aca="false">'F-Class'!F19</f>
        <v/>
      </c>
      <c r="F119" s="1" t="n">
        <f aca="false">IF('F-Class'!S19="",0,'F-Class'!S19)</f>
        <v>0</v>
      </c>
      <c r="G119" s="1" t="n">
        <f aca="false">IF('F-Class'!T19="",0,'F-Class'!T19)</f>
        <v>0</v>
      </c>
      <c r="H119" s="1" t="n">
        <f aca="false">IFERROR(YEAR('F-Class'!A19),"")</f>
        <v>1899</v>
      </c>
      <c r="I119" s="1" t="n">
        <f aca="false">IF(AND('F-Class'!D19&lt;&gt;"",'F-Class'!S19&lt;&gt;""),1,0)</f>
        <v>0</v>
      </c>
    </row>
    <row r="120" customFormat="false" ht="15" hidden="false" customHeight="true" outlineLevel="0" collapsed="false">
      <c r="A120" s="83" t="n">
        <f aca="false">'F-Class'!A20</f>
        <v>0</v>
      </c>
      <c r="B120" s="1" t="n">
        <f aca="false">'F-Class'!C20</f>
        <v>0</v>
      </c>
      <c r="C120" s="1" t="n">
        <f aca="false">'F-Class'!D20</f>
        <v>0</v>
      </c>
      <c r="D120" s="1" t="str">
        <f aca="false">'F-Class'!E20</f>
        <v/>
      </c>
      <c r="E120" s="1" t="str">
        <f aca="false">'F-Class'!F20</f>
        <v/>
      </c>
      <c r="F120" s="1" t="n">
        <f aca="false">IF('F-Class'!S20="",0,'F-Class'!S20)</f>
        <v>0</v>
      </c>
      <c r="G120" s="1" t="n">
        <f aca="false">IF('F-Class'!T20="",0,'F-Class'!T20)</f>
        <v>0</v>
      </c>
      <c r="H120" s="1" t="n">
        <f aca="false">IFERROR(YEAR('F-Class'!A20),"")</f>
        <v>1899</v>
      </c>
      <c r="I120" s="1" t="n">
        <f aca="false">IF(AND('F-Class'!D20&lt;&gt;"",'F-Class'!S20&lt;&gt;""),1,0)</f>
        <v>0</v>
      </c>
    </row>
    <row r="121" customFormat="false" ht="15" hidden="false" customHeight="true" outlineLevel="0" collapsed="false">
      <c r="A121" s="83" t="n">
        <f aca="false">'F-Class'!A21</f>
        <v>0</v>
      </c>
      <c r="B121" s="1" t="n">
        <f aca="false">'F-Class'!C21</f>
        <v>0</v>
      </c>
      <c r="C121" s="1" t="n">
        <f aca="false">'F-Class'!D21</f>
        <v>0</v>
      </c>
      <c r="D121" s="1" t="str">
        <f aca="false">'F-Class'!E21</f>
        <v/>
      </c>
      <c r="E121" s="1" t="str">
        <f aca="false">'F-Class'!F21</f>
        <v/>
      </c>
      <c r="F121" s="1" t="n">
        <f aca="false">IF('F-Class'!S21="",0,'F-Class'!S21)</f>
        <v>0</v>
      </c>
      <c r="G121" s="1" t="n">
        <f aca="false">IF('F-Class'!T21="",0,'F-Class'!T21)</f>
        <v>0</v>
      </c>
      <c r="H121" s="1" t="n">
        <f aca="false">IFERROR(YEAR('F-Class'!A21),"")</f>
        <v>1899</v>
      </c>
      <c r="I121" s="1" t="n">
        <f aca="false">IF(AND('F-Class'!D21&lt;&gt;"",'F-Class'!S21&lt;&gt;""),1,0)</f>
        <v>0</v>
      </c>
    </row>
    <row r="122" customFormat="false" ht="15" hidden="false" customHeight="true" outlineLevel="0" collapsed="false">
      <c r="A122" s="83" t="n">
        <f aca="false">'F-Class'!A22</f>
        <v>0</v>
      </c>
      <c r="B122" s="1" t="n">
        <f aca="false">'F-Class'!C22</f>
        <v>0</v>
      </c>
      <c r="C122" s="1" t="n">
        <f aca="false">'F-Class'!D22</f>
        <v>0</v>
      </c>
      <c r="D122" s="1" t="str">
        <f aca="false">'F-Class'!E22</f>
        <v/>
      </c>
      <c r="E122" s="1" t="str">
        <f aca="false">'F-Class'!F22</f>
        <v/>
      </c>
      <c r="F122" s="1" t="n">
        <f aca="false">IF('F-Class'!S22="",0,'F-Class'!S22)</f>
        <v>0</v>
      </c>
      <c r="G122" s="1" t="n">
        <f aca="false">IF('F-Class'!T22="",0,'F-Class'!T22)</f>
        <v>0</v>
      </c>
      <c r="H122" s="1" t="n">
        <f aca="false">IFERROR(YEAR('F-Class'!A22),"")</f>
        <v>1899</v>
      </c>
      <c r="I122" s="1" t="n">
        <f aca="false">IF(AND('F-Class'!D22&lt;&gt;"",'F-Class'!S22&lt;&gt;""),1,0)</f>
        <v>0</v>
      </c>
    </row>
    <row r="123" customFormat="false" ht="15" hidden="false" customHeight="true" outlineLevel="0" collapsed="false">
      <c r="A123" s="83" t="n">
        <f aca="false">'F-Class'!A23</f>
        <v>0</v>
      </c>
      <c r="B123" s="1" t="n">
        <f aca="false">'F-Class'!C23</f>
        <v>0</v>
      </c>
      <c r="C123" s="1" t="n">
        <f aca="false">'F-Class'!D23</f>
        <v>0</v>
      </c>
      <c r="D123" s="1" t="str">
        <f aca="false">'F-Class'!E23</f>
        <v/>
      </c>
      <c r="E123" s="1" t="str">
        <f aca="false">'F-Class'!F23</f>
        <v/>
      </c>
      <c r="F123" s="1" t="n">
        <f aca="false">IF('F-Class'!S23="",0,'F-Class'!S23)</f>
        <v>0</v>
      </c>
      <c r="G123" s="1" t="n">
        <f aca="false">IF('F-Class'!T23="",0,'F-Class'!T23)</f>
        <v>0</v>
      </c>
      <c r="H123" s="1" t="n">
        <f aca="false">IFERROR(YEAR('F-Class'!A23),"")</f>
        <v>1899</v>
      </c>
      <c r="I123" s="1" t="n">
        <f aca="false">IF(AND('F-Class'!D23&lt;&gt;"",'F-Class'!S23&lt;&gt;""),1,0)</f>
        <v>0</v>
      </c>
    </row>
    <row r="124" customFormat="false" ht="15" hidden="false" customHeight="true" outlineLevel="0" collapsed="false">
      <c r="A124" s="83" t="n">
        <f aca="false">'F-Class'!A24</f>
        <v>0</v>
      </c>
      <c r="B124" s="1" t="n">
        <f aca="false">'F-Class'!C24</f>
        <v>0</v>
      </c>
      <c r="C124" s="1" t="n">
        <f aca="false">'F-Class'!D24</f>
        <v>0</v>
      </c>
      <c r="D124" s="1" t="str">
        <f aca="false">'F-Class'!E24</f>
        <v/>
      </c>
      <c r="E124" s="1" t="str">
        <f aca="false">'F-Class'!F24</f>
        <v/>
      </c>
      <c r="F124" s="1" t="n">
        <f aca="false">IF('F-Class'!S24="",0,'F-Class'!S24)</f>
        <v>0</v>
      </c>
      <c r="G124" s="1" t="n">
        <f aca="false">IF('F-Class'!T24="",0,'F-Class'!T24)</f>
        <v>0</v>
      </c>
      <c r="H124" s="1" t="n">
        <f aca="false">IFERROR(YEAR('F-Class'!A24),"")</f>
        <v>1899</v>
      </c>
      <c r="I124" s="1" t="n">
        <f aca="false">IF(AND('F-Class'!D24&lt;&gt;"",'F-Class'!S24&lt;&gt;""),1,0)</f>
        <v>0</v>
      </c>
    </row>
    <row r="125" customFormat="false" ht="15" hidden="false" customHeight="true" outlineLevel="0" collapsed="false">
      <c r="A125" s="83" t="n">
        <f aca="false">'F-Class'!A25</f>
        <v>0</v>
      </c>
      <c r="B125" s="1" t="n">
        <f aca="false">'F-Class'!C25</f>
        <v>0</v>
      </c>
      <c r="C125" s="1" t="n">
        <f aca="false">'F-Class'!D25</f>
        <v>0</v>
      </c>
      <c r="D125" s="1" t="str">
        <f aca="false">'F-Class'!E25</f>
        <v/>
      </c>
      <c r="E125" s="1" t="str">
        <f aca="false">'F-Class'!F25</f>
        <v/>
      </c>
      <c r="F125" s="1" t="n">
        <f aca="false">IF('F-Class'!S25="",0,'F-Class'!S25)</f>
        <v>0</v>
      </c>
      <c r="G125" s="1" t="n">
        <f aca="false">IF('F-Class'!T25="",0,'F-Class'!T25)</f>
        <v>0</v>
      </c>
      <c r="H125" s="1" t="n">
        <f aca="false">IFERROR(YEAR('F-Class'!A25),"")</f>
        <v>1899</v>
      </c>
      <c r="I125" s="1" t="n">
        <f aca="false">IF(AND('F-Class'!D25&lt;&gt;"",'F-Class'!S25&lt;&gt;""),1,0)</f>
        <v>0</v>
      </c>
    </row>
    <row r="126" customFormat="false" ht="15" hidden="false" customHeight="true" outlineLevel="0" collapsed="false">
      <c r="A126" s="83" t="n">
        <f aca="false">'F-Class'!A26</f>
        <v>0</v>
      </c>
      <c r="B126" s="1" t="n">
        <f aca="false">'F-Class'!C26</f>
        <v>0</v>
      </c>
      <c r="C126" s="1" t="n">
        <f aca="false">'F-Class'!D26</f>
        <v>0</v>
      </c>
      <c r="D126" s="1" t="str">
        <f aca="false">'F-Class'!E26</f>
        <v/>
      </c>
      <c r="E126" s="1" t="str">
        <f aca="false">'F-Class'!F26</f>
        <v/>
      </c>
      <c r="F126" s="1" t="n">
        <f aca="false">IF('F-Class'!S26="",0,'F-Class'!S26)</f>
        <v>0</v>
      </c>
      <c r="G126" s="1" t="n">
        <f aca="false">IF('F-Class'!T26="",0,'F-Class'!T26)</f>
        <v>0</v>
      </c>
      <c r="H126" s="1" t="n">
        <f aca="false">IFERROR(YEAR('F-Class'!A26),"")</f>
        <v>1899</v>
      </c>
      <c r="I126" s="1" t="n">
        <f aca="false">IF(AND('F-Class'!D26&lt;&gt;"",'F-Class'!S26&lt;&gt;""),1,0)</f>
        <v>0</v>
      </c>
    </row>
    <row r="127" customFormat="false" ht="15" hidden="false" customHeight="true" outlineLevel="0" collapsed="false">
      <c r="A127" s="83" t="n">
        <f aca="false">'F-Class'!A27</f>
        <v>0</v>
      </c>
      <c r="B127" s="1" t="n">
        <f aca="false">'F-Class'!C27</f>
        <v>0</v>
      </c>
      <c r="C127" s="1" t="n">
        <f aca="false">'F-Class'!D27</f>
        <v>0</v>
      </c>
      <c r="D127" s="1" t="str">
        <f aca="false">'F-Class'!E27</f>
        <v/>
      </c>
      <c r="E127" s="1" t="str">
        <f aca="false">'F-Class'!F27</f>
        <v/>
      </c>
      <c r="F127" s="1" t="n">
        <f aca="false">IF('F-Class'!S27="",0,'F-Class'!S27)</f>
        <v>0</v>
      </c>
      <c r="G127" s="1" t="n">
        <f aca="false">IF('F-Class'!T27="",0,'F-Class'!T27)</f>
        <v>0</v>
      </c>
      <c r="H127" s="1" t="n">
        <f aca="false">IFERROR(YEAR('F-Class'!A27),"")</f>
        <v>1899</v>
      </c>
      <c r="I127" s="1" t="n">
        <f aca="false">IF(AND('F-Class'!D27&lt;&gt;"",'F-Class'!S27&lt;&gt;""),1,0)</f>
        <v>0</v>
      </c>
    </row>
    <row r="128" customFormat="false" ht="15" hidden="false" customHeight="true" outlineLevel="0" collapsed="false">
      <c r="A128" s="83" t="n">
        <f aca="false">'F-Class'!A28</f>
        <v>0</v>
      </c>
      <c r="B128" s="1" t="n">
        <f aca="false">'F-Class'!C28</f>
        <v>0</v>
      </c>
      <c r="C128" s="1" t="n">
        <f aca="false">'F-Class'!D28</f>
        <v>0</v>
      </c>
      <c r="D128" s="1" t="str">
        <f aca="false">'F-Class'!E28</f>
        <v/>
      </c>
      <c r="E128" s="1" t="str">
        <f aca="false">'F-Class'!F28</f>
        <v/>
      </c>
      <c r="F128" s="1" t="n">
        <f aca="false">IF('F-Class'!S28="",0,'F-Class'!S28)</f>
        <v>0</v>
      </c>
      <c r="G128" s="1" t="n">
        <f aca="false">IF('F-Class'!T28="",0,'F-Class'!T28)</f>
        <v>0</v>
      </c>
      <c r="H128" s="1" t="n">
        <f aca="false">IFERROR(YEAR('F-Class'!A28),"")</f>
        <v>1899</v>
      </c>
      <c r="I128" s="1" t="n">
        <f aca="false">IF(AND('F-Class'!D28&lt;&gt;"",'F-Class'!S28&lt;&gt;""),1,0)</f>
        <v>0</v>
      </c>
    </row>
    <row r="129" customFormat="false" ht="15" hidden="false" customHeight="true" outlineLevel="0" collapsed="false">
      <c r="A129" s="83" t="n">
        <f aca="false">'F-Class'!A29</f>
        <v>0</v>
      </c>
      <c r="B129" s="1" t="n">
        <f aca="false">'F-Class'!C29</f>
        <v>0</v>
      </c>
      <c r="C129" s="1" t="n">
        <f aca="false">'F-Class'!D29</f>
        <v>0</v>
      </c>
      <c r="D129" s="1" t="str">
        <f aca="false">'F-Class'!E29</f>
        <v/>
      </c>
      <c r="E129" s="1" t="str">
        <f aca="false">'F-Class'!F29</f>
        <v/>
      </c>
      <c r="F129" s="1" t="n">
        <f aca="false">IF('F-Class'!S29="",0,'F-Class'!S29)</f>
        <v>0</v>
      </c>
      <c r="G129" s="1" t="n">
        <f aca="false">IF('F-Class'!T29="",0,'F-Class'!T29)</f>
        <v>0</v>
      </c>
      <c r="H129" s="1" t="n">
        <f aca="false">IFERROR(YEAR('F-Class'!A29),"")</f>
        <v>1899</v>
      </c>
      <c r="I129" s="1" t="n">
        <f aca="false">IF(AND('F-Class'!D29&lt;&gt;"",'F-Class'!S29&lt;&gt;""),1,0)</f>
        <v>0</v>
      </c>
    </row>
    <row r="130" customFormat="false" ht="15" hidden="false" customHeight="true" outlineLevel="0" collapsed="false">
      <c r="A130" s="83" t="n">
        <f aca="false">'F-Class'!A30</f>
        <v>0</v>
      </c>
      <c r="B130" s="1" t="n">
        <f aca="false">'F-Class'!C30</f>
        <v>0</v>
      </c>
      <c r="C130" s="1" t="n">
        <f aca="false">'F-Class'!D30</f>
        <v>0</v>
      </c>
      <c r="D130" s="1" t="str">
        <f aca="false">'F-Class'!E30</f>
        <v/>
      </c>
      <c r="E130" s="1" t="str">
        <f aca="false">'F-Class'!F30</f>
        <v/>
      </c>
      <c r="F130" s="1" t="n">
        <f aca="false">IF('F-Class'!S30="",0,'F-Class'!S30)</f>
        <v>0</v>
      </c>
      <c r="G130" s="1" t="n">
        <f aca="false">IF('F-Class'!T30="",0,'F-Class'!T30)</f>
        <v>0</v>
      </c>
      <c r="H130" s="1" t="n">
        <f aca="false">IFERROR(YEAR('F-Class'!A30),"")</f>
        <v>1899</v>
      </c>
      <c r="I130" s="1" t="n">
        <f aca="false">IF(AND('F-Class'!D30&lt;&gt;"",'F-Class'!S30&lt;&gt;""),1,0)</f>
        <v>0</v>
      </c>
    </row>
    <row r="131" customFormat="false" ht="15" hidden="false" customHeight="true" outlineLevel="0" collapsed="false">
      <c r="A131" s="83" t="n">
        <f aca="false">'F-Class'!A31</f>
        <v>0</v>
      </c>
      <c r="B131" s="1" t="n">
        <f aca="false">'F-Class'!C31</f>
        <v>0</v>
      </c>
      <c r="C131" s="1" t="n">
        <f aca="false">'F-Class'!D31</f>
        <v>0</v>
      </c>
      <c r="D131" s="1" t="str">
        <f aca="false">'F-Class'!E31</f>
        <v/>
      </c>
      <c r="E131" s="1" t="str">
        <f aca="false">'F-Class'!F31</f>
        <v/>
      </c>
      <c r="F131" s="1" t="n">
        <f aca="false">IF('F-Class'!S31="",0,'F-Class'!S31)</f>
        <v>0</v>
      </c>
      <c r="G131" s="1" t="n">
        <f aca="false">IF('F-Class'!T31="",0,'F-Class'!T31)</f>
        <v>0</v>
      </c>
      <c r="H131" s="1" t="n">
        <f aca="false">IFERROR(YEAR('F-Class'!A31),"")</f>
        <v>1899</v>
      </c>
      <c r="I131" s="1" t="n">
        <f aca="false">IF(AND('F-Class'!D31&lt;&gt;"",'F-Class'!S31&lt;&gt;""),1,0)</f>
        <v>0</v>
      </c>
    </row>
    <row r="132" customFormat="false" ht="15" hidden="false" customHeight="true" outlineLevel="0" collapsed="false">
      <c r="A132" s="83" t="n">
        <f aca="false">'F-Class'!A32</f>
        <v>0</v>
      </c>
      <c r="B132" s="1" t="n">
        <f aca="false">'F-Class'!C32</f>
        <v>0</v>
      </c>
      <c r="C132" s="1" t="n">
        <f aca="false">'F-Class'!D32</f>
        <v>0</v>
      </c>
      <c r="D132" s="1" t="str">
        <f aca="false">'F-Class'!E32</f>
        <v/>
      </c>
      <c r="E132" s="1" t="str">
        <f aca="false">'F-Class'!F32</f>
        <v/>
      </c>
      <c r="F132" s="1" t="n">
        <f aca="false">IF('F-Class'!S32="",0,'F-Class'!S32)</f>
        <v>0</v>
      </c>
      <c r="G132" s="1" t="n">
        <f aca="false">IF('F-Class'!T32="",0,'F-Class'!T32)</f>
        <v>0</v>
      </c>
      <c r="H132" s="1" t="n">
        <f aca="false">IFERROR(YEAR('F-Class'!A32),"")</f>
        <v>1899</v>
      </c>
      <c r="I132" s="1" t="n">
        <f aca="false">IF(AND('F-Class'!D32&lt;&gt;"",'F-Class'!S32&lt;&gt;""),1,0)</f>
        <v>0</v>
      </c>
    </row>
    <row r="133" customFormat="false" ht="15" hidden="false" customHeight="true" outlineLevel="0" collapsed="false">
      <c r="A133" s="83" t="n">
        <f aca="false">'F-Class'!A33</f>
        <v>0</v>
      </c>
      <c r="B133" s="1" t="n">
        <f aca="false">'F-Class'!C33</f>
        <v>0</v>
      </c>
      <c r="C133" s="1" t="n">
        <f aca="false">'F-Class'!D33</f>
        <v>0</v>
      </c>
      <c r="D133" s="1" t="str">
        <f aca="false">'F-Class'!E33</f>
        <v/>
      </c>
      <c r="E133" s="1" t="str">
        <f aca="false">'F-Class'!F33</f>
        <v/>
      </c>
      <c r="F133" s="1" t="n">
        <f aca="false">IF('F-Class'!S33="",0,'F-Class'!S33)</f>
        <v>0</v>
      </c>
      <c r="G133" s="1" t="n">
        <f aca="false">IF('F-Class'!T33="",0,'F-Class'!T33)</f>
        <v>0</v>
      </c>
      <c r="H133" s="1" t="n">
        <f aca="false">IFERROR(YEAR('F-Class'!A33),"")</f>
        <v>1899</v>
      </c>
      <c r="I133" s="1" t="n">
        <f aca="false">IF(AND('F-Class'!D33&lt;&gt;"",'F-Class'!S33&lt;&gt;""),1,0)</f>
        <v>0</v>
      </c>
    </row>
    <row r="134" customFormat="false" ht="15" hidden="false" customHeight="true" outlineLevel="0" collapsed="false">
      <c r="A134" s="83" t="n">
        <f aca="false">'F-Class'!A34</f>
        <v>0</v>
      </c>
      <c r="B134" s="1" t="n">
        <f aca="false">'F-Class'!C34</f>
        <v>0</v>
      </c>
      <c r="C134" s="1" t="n">
        <f aca="false">'F-Class'!D34</f>
        <v>0</v>
      </c>
      <c r="D134" s="1" t="str">
        <f aca="false">'F-Class'!E34</f>
        <v/>
      </c>
      <c r="E134" s="1" t="str">
        <f aca="false">'F-Class'!F34</f>
        <v/>
      </c>
      <c r="F134" s="1" t="n">
        <f aca="false">IF('F-Class'!S34="",0,'F-Class'!S34)</f>
        <v>0</v>
      </c>
      <c r="G134" s="1" t="n">
        <f aca="false">IF('F-Class'!T34="",0,'F-Class'!T34)</f>
        <v>0</v>
      </c>
      <c r="H134" s="1" t="n">
        <f aca="false">IFERROR(YEAR('F-Class'!A34),"")</f>
        <v>1899</v>
      </c>
      <c r="I134" s="1" t="n">
        <f aca="false">IF(AND('F-Class'!D34&lt;&gt;"",'F-Class'!S34&lt;&gt;""),1,0)</f>
        <v>0</v>
      </c>
    </row>
    <row r="135" customFormat="false" ht="15" hidden="false" customHeight="true" outlineLevel="0" collapsed="false">
      <c r="A135" s="83" t="n">
        <f aca="false">'F-Class'!A35</f>
        <v>0</v>
      </c>
      <c r="B135" s="1" t="n">
        <f aca="false">'F-Class'!C35</f>
        <v>0</v>
      </c>
      <c r="C135" s="1" t="n">
        <f aca="false">'F-Class'!D35</f>
        <v>0</v>
      </c>
      <c r="D135" s="1" t="str">
        <f aca="false">'F-Class'!E35</f>
        <v/>
      </c>
      <c r="E135" s="1" t="str">
        <f aca="false">'F-Class'!F35</f>
        <v/>
      </c>
      <c r="F135" s="1" t="n">
        <f aca="false">IF('F-Class'!S35="",0,'F-Class'!S35)</f>
        <v>0</v>
      </c>
      <c r="G135" s="1" t="n">
        <f aca="false">IF('F-Class'!T35="",0,'F-Class'!T35)</f>
        <v>0</v>
      </c>
      <c r="H135" s="1" t="n">
        <f aca="false">IFERROR(YEAR('F-Class'!A35),"")</f>
        <v>1899</v>
      </c>
      <c r="I135" s="1" t="n">
        <f aca="false">IF(AND('F-Class'!D35&lt;&gt;"",'F-Class'!S35&lt;&gt;""),1,0)</f>
        <v>0</v>
      </c>
    </row>
    <row r="136" customFormat="false" ht="15" hidden="false" customHeight="true" outlineLevel="0" collapsed="false">
      <c r="A136" s="83" t="n">
        <f aca="false">'F-Class'!A36</f>
        <v>0</v>
      </c>
      <c r="B136" s="1" t="n">
        <f aca="false">'F-Class'!C36</f>
        <v>0</v>
      </c>
      <c r="C136" s="1" t="n">
        <f aca="false">'F-Class'!D36</f>
        <v>0</v>
      </c>
      <c r="D136" s="1" t="str">
        <f aca="false">'F-Class'!E36</f>
        <v/>
      </c>
      <c r="E136" s="1" t="str">
        <f aca="false">'F-Class'!F36</f>
        <v/>
      </c>
      <c r="F136" s="1" t="n">
        <f aca="false">IF('F-Class'!S36="",0,'F-Class'!S36)</f>
        <v>0</v>
      </c>
      <c r="G136" s="1" t="n">
        <f aca="false">IF('F-Class'!T36="",0,'F-Class'!T36)</f>
        <v>0</v>
      </c>
      <c r="H136" s="1" t="n">
        <f aca="false">IFERROR(YEAR('F-Class'!A36),"")</f>
        <v>1899</v>
      </c>
      <c r="I136" s="1" t="n">
        <f aca="false">IF(AND('F-Class'!D36&lt;&gt;"",'F-Class'!S36&lt;&gt;""),1,0)</f>
        <v>0</v>
      </c>
    </row>
    <row r="137" customFormat="false" ht="15" hidden="false" customHeight="true" outlineLevel="0" collapsed="false">
      <c r="A137" s="83" t="n">
        <f aca="false">'F-Class'!A37</f>
        <v>0</v>
      </c>
      <c r="B137" s="1" t="n">
        <f aca="false">'F-Class'!C37</f>
        <v>0</v>
      </c>
      <c r="C137" s="1" t="n">
        <f aca="false">'F-Class'!D37</f>
        <v>0</v>
      </c>
      <c r="D137" s="1" t="str">
        <f aca="false">'F-Class'!E37</f>
        <v/>
      </c>
      <c r="E137" s="1" t="str">
        <f aca="false">'F-Class'!F37</f>
        <v/>
      </c>
      <c r="F137" s="1" t="n">
        <f aca="false">IF('F-Class'!S37="",0,'F-Class'!S37)</f>
        <v>0</v>
      </c>
      <c r="G137" s="1" t="n">
        <f aca="false">IF('F-Class'!T37="",0,'F-Class'!T37)</f>
        <v>0</v>
      </c>
      <c r="H137" s="1" t="n">
        <f aca="false">IFERROR(YEAR('F-Class'!A37),"")</f>
        <v>1899</v>
      </c>
      <c r="I137" s="1" t="n">
        <f aca="false">IF(AND('F-Class'!D37&lt;&gt;"",'F-Class'!S37&lt;&gt;""),1,0)</f>
        <v>0</v>
      </c>
    </row>
    <row r="138" customFormat="false" ht="15" hidden="false" customHeight="true" outlineLevel="0" collapsed="false">
      <c r="A138" s="83" t="n">
        <f aca="false">'F-Class'!A38</f>
        <v>0</v>
      </c>
      <c r="B138" s="1" t="n">
        <f aca="false">'F-Class'!C38</f>
        <v>0</v>
      </c>
      <c r="C138" s="1" t="n">
        <f aca="false">'F-Class'!D38</f>
        <v>0</v>
      </c>
      <c r="D138" s="1" t="str">
        <f aca="false">'F-Class'!E38</f>
        <v/>
      </c>
      <c r="E138" s="1" t="str">
        <f aca="false">'F-Class'!F38</f>
        <v/>
      </c>
      <c r="F138" s="1" t="n">
        <f aca="false">IF('F-Class'!S38="",0,'F-Class'!S38)</f>
        <v>0</v>
      </c>
      <c r="G138" s="1" t="n">
        <f aca="false">IF('F-Class'!T38="",0,'F-Class'!T38)</f>
        <v>0</v>
      </c>
      <c r="H138" s="1" t="n">
        <f aca="false">IFERROR(YEAR('F-Class'!A38),"")</f>
        <v>1899</v>
      </c>
      <c r="I138" s="1" t="n">
        <f aca="false">IF(AND('F-Class'!D38&lt;&gt;"",'F-Class'!S38&lt;&gt;""),1,0)</f>
        <v>0</v>
      </c>
    </row>
    <row r="139" customFormat="false" ht="15" hidden="false" customHeight="true" outlineLevel="0" collapsed="false">
      <c r="A139" s="83" t="n">
        <f aca="false">'F-Class'!A39</f>
        <v>0</v>
      </c>
      <c r="B139" s="1" t="n">
        <f aca="false">'F-Class'!C39</f>
        <v>0</v>
      </c>
      <c r="C139" s="1" t="n">
        <f aca="false">'F-Class'!D39</f>
        <v>0</v>
      </c>
      <c r="D139" s="1" t="str">
        <f aca="false">'F-Class'!E39</f>
        <v/>
      </c>
      <c r="E139" s="1" t="str">
        <f aca="false">'F-Class'!F39</f>
        <v/>
      </c>
      <c r="F139" s="1" t="n">
        <f aca="false">IF('F-Class'!S39="",0,'F-Class'!S39)</f>
        <v>0</v>
      </c>
      <c r="G139" s="1" t="n">
        <f aca="false">IF('F-Class'!T39="",0,'F-Class'!T39)</f>
        <v>0</v>
      </c>
      <c r="H139" s="1" t="n">
        <f aca="false">IFERROR(YEAR('F-Class'!A39),"")</f>
        <v>1899</v>
      </c>
      <c r="I139" s="1" t="n">
        <f aca="false">IF(AND('F-Class'!D39&lt;&gt;"",'F-Class'!S39&lt;&gt;""),1,0)</f>
        <v>0</v>
      </c>
    </row>
    <row r="140" customFormat="false" ht="15" hidden="false" customHeight="true" outlineLevel="0" collapsed="false">
      <c r="A140" s="83" t="n">
        <f aca="false">'F-Class'!A40</f>
        <v>0</v>
      </c>
      <c r="B140" s="1" t="n">
        <f aca="false">'F-Class'!C40</f>
        <v>0</v>
      </c>
      <c r="C140" s="1" t="n">
        <f aca="false">'F-Class'!D40</f>
        <v>0</v>
      </c>
      <c r="D140" s="1" t="str">
        <f aca="false">'F-Class'!E40</f>
        <v/>
      </c>
      <c r="E140" s="1" t="str">
        <f aca="false">'F-Class'!F40</f>
        <v/>
      </c>
      <c r="F140" s="1" t="n">
        <f aca="false">IF('F-Class'!S40="",0,'F-Class'!S40)</f>
        <v>0</v>
      </c>
      <c r="G140" s="1" t="n">
        <f aca="false">IF('F-Class'!T40="",0,'F-Class'!T40)</f>
        <v>0</v>
      </c>
      <c r="H140" s="1" t="n">
        <f aca="false">IFERROR(YEAR('F-Class'!A40),"")</f>
        <v>1899</v>
      </c>
      <c r="I140" s="1" t="n">
        <f aca="false">IF(AND('F-Class'!D40&lt;&gt;"",'F-Class'!S40&lt;&gt;""),1,0)</f>
        <v>0</v>
      </c>
    </row>
    <row r="141" customFormat="false" ht="15" hidden="false" customHeight="true" outlineLevel="0" collapsed="false">
      <c r="A141" s="83" t="n">
        <f aca="false">'F-Class'!A41</f>
        <v>0</v>
      </c>
      <c r="B141" s="1" t="n">
        <f aca="false">'F-Class'!C41</f>
        <v>0</v>
      </c>
      <c r="C141" s="1" t="n">
        <f aca="false">'F-Class'!D41</f>
        <v>0</v>
      </c>
      <c r="D141" s="1" t="str">
        <f aca="false">'F-Class'!E41</f>
        <v/>
      </c>
      <c r="E141" s="1" t="str">
        <f aca="false">'F-Class'!F41</f>
        <v/>
      </c>
      <c r="F141" s="1" t="n">
        <f aca="false">IF('F-Class'!S41="",0,'F-Class'!S41)</f>
        <v>0</v>
      </c>
      <c r="G141" s="1" t="n">
        <f aca="false">IF('F-Class'!T41="",0,'F-Class'!T41)</f>
        <v>0</v>
      </c>
      <c r="H141" s="1" t="n">
        <f aca="false">IFERROR(YEAR('F-Class'!A41),"")</f>
        <v>1899</v>
      </c>
      <c r="I141" s="1" t="n">
        <f aca="false">IF(AND('F-Class'!D41&lt;&gt;"",'F-Class'!S41&lt;&gt;""),1,0)</f>
        <v>0</v>
      </c>
    </row>
    <row r="142" customFormat="false" ht="15" hidden="false" customHeight="true" outlineLevel="0" collapsed="false">
      <c r="A142" s="83" t="n">
        <f aca="false">'F-Class'!A42</f>
        <v>0</v>
      </c>
      <c r="B142" s="1" t="n">
        <f aca="false">'F-Class'!C42</f>
        <v>0</v>
      </c>
      <c r="C142" s="1" t="n">
        <f aca="false">'F-Class'!D42</f>
        <v>0</v>
      </c>
      <c r="D142" s="1" t="str">
        <f aca="false">'F-Class'!E42</f>
        <v/>
      </c>
      <c r="E142" s="1" t="str">
        <f aca="false">'F-Class'!F42</f>
        <v/>
      </c>
      <c r="F142" s="1" t="n">
        <f aca="false">IF('F-Class'!S42="",0,'F-Class'!S42)</f>
        <v>0</v>
      </c>
      <c r="G142" s="1" t="n">
        <f aca="false">IF('F-Class'!T42="",0,'F-Class'!T42)</f>
        <v>0</v>
      </c>
      <c r="H142" s="1" t="n">
        <f aca="false">IFERROR(YEAR('F-Class'!A42),"")</f>
        <v>1899</v>
      </c>
      <c r="I142" s="1" t="n">
        <f aca="false">IF(AND('F-Class'!D42&lt;&gt;"",'F-Class'!S42&lt;&gt;""),1,0)</f>
        <v>0</v>
      </c>
    </row>
    <row r="143" customFormat="false" ht="15" hidden="false" customHeight="true" outlineLevel="0" collapsed="false">
      <c r="A143" s="83" t="n">
        <f aca="false">'F-Class'!A43</f>
        <v>0</v>
      </c>
      <c r="B143" s="1" t="n">
        <f aca="false">'F-Class'!C43</f>
        <v>0</v>
      </c>
      <c r="C143" s="1" t="n">
        <f aca="false">'F-Class'!D43</f>
        <v>0</v>
      </c>
      <c r="D143" s="1" t="str">
        <f aca="false">'F-Class'!E43</f>
        <v/>
      </c>
      <c r="E143" s="1" t="str">
        <f aca="false">'F-Class'!F43</f>
        <v/>
      </c>
      <c r="F143" s="1" t="n">
        <f aca="false">IF('F-Class'!S43="",0,'F-Class'!S43)</f>
        <v>0</v>
      </c>
      <c r="G143" s="1" t="n">
        <f aca="false">IF('F-Class'!T43="",0,'F-Class'!T43)</f>
        <v>0</v>
      </c>
      <c r="H143" s="1" t="n">
        <f aca="false">IFERROR(YEAR('F-Class'!A43),"")</f>
        <v>1899</v>
      </c>
      <c r="I143" s="1" t="n">
        <f aca="false">IF(AND('F-Class'!D43&lt;&gt;"",'F-Class'!S43&lt;&gt;""),1,0)</f>
        <v>0</v>
      </c>
    </row>
    <row r="144" customFormat="false" ht="15" hidden="false" customHeight="true" outlineLevel="0" collapsed="false">
      <c r="A144" s="83" t="n">
        <f aca="false">'F-Class'!A44</f>
        <v>0</v>
      </c>
      <c r="B144" s="1" t="n">
        <f aca="false">'F-Class'!C44</f>
        <v>0</v>
      </c>
      <c r="C144" s="1" t="n">
        <f aca="false">'F-Class'!D44</f>
        <v>0</v>
      </c>
      <c r="D144" s="1" t="str">
        <f aca="false">'F-Class'!E44</f>
        <v/>
      </c>
      <c r="E144" s="1" t="str">
        <f aca="false">'F-Class'!F44</f>
        <v/>
      </c>
      <c r="F144" s="1" t="n">
        <f aca="false">IF('F-Class'!S44="",0,'F-Class'!S44)</f>
        <v>0</v>
      </c>
      <c r="G144" s="1" t="n">
        <f aca="false">IF('F-Class'!T44="",0,'F-Class'!T44)</f>
        <v>0</v>
      </c>
      <c r="H144" s="1" t="n">
        <f aca="false">IFERROR(YEAR('F-Class'!A44),"")</f>
        <v>1899</v>
      </c>
      <c r="I144" s="1" t="n">
        <f aca="false">IF(AND('F-Class'!D44&lt;&gt;"",'F-Class'!S44&lt;&gt;""),1,0)</f>
        <v>0</v>
      </c>
    </row>
    <row r="145" customFormat="false" ht="15" hidden="false" customHeight="true" outlineLevel="0" collapsed="false">
      <c r="A145" s="83" t="n">
        <f aca="false">'F-Class'!A45</f>
        <v>0</v>
      </c>
      <c r="B145" s="1" t="n">
        <f aca="false">'F-Class'!C45</f>
        <v>0</v>
      </c>
      <c r="C145" s="1" t="n">
        <f aca="false">'F-Class'!D45</f>
        <v>0</v>
      </c>
      <c r="D145" s="1" t="str">
        <f aca="false">'F-Class'!E45</f>
        <v/>
      </c>
      <c r="E145" s="1" t="str">
        <f aca="false">'F-Class'!F45</f>
        <v/>
      </c>
      <c r="F145" s="1" t="n">
        <f aca="false">IF('F-Class'!S45="",0,'F-Class'!S45)</f>
        <v>0</v>
      </c>
      <c r="G145" s="1" t="n">
        <f aca="false">IF('F-Class'!T45="",0,'F-Class'!T45)</f>
        <v>0</v>
      </c>
      <c r="H145" s="1" t="n">
        <f aca="false">IFERROR(YEAR('F-Class'!A45),"")</f>
        <v>1899</v>
      </c>
      <c r="I145" s="1" t="n">
        <f aca="false">IF(AND('F-Class'!D45&lt;&gt;"",'F-Class'!S45&lt;&gt;""),1,0)</f>
        <v>0</v>
      </c>
    </row>
    <row r="146" customFormat="false" ht="15" hidden="false" customHeight="true" outlineLevel="0" collapsed="false">
      <c r="A146" s="83" t="n">
        <f aca="false">'F-Class'!A46</f>
        <v>0</v>
      </c>
      <c r="B146" s="1" t="n">
        <f aca="false">'F-Class'!C46</f>
        <v>0</v>
      </c>
      <c r="C146" s="1" t="n">
        <f aca="false">'F-Class'!D46</f>
        <v>0</v>
      </c>
      <c r="D146" s="1" t="str">
        <f aca="false">'F-Class'!E46</f>
        <v/>
      </c>
      <c r="E146" s="1" t="str">
        <f aca="false">'F-Class'!F46</f>
        <v/>
      </c>
      <c r="F146" s="1" t="n">
        <f aca="false">IF('F-Class'!S46="",0,'F-Class'!S46)</f>
        <v>0</v>
      </c>
      <c r="G146" s="1" t="n">
        <f aca="false">IF('F-Class'!T46="",0,'F-Class'!T46)</f>
        <v>0</v>
      </c>
      <c r="H146" s="1" t="n">
        <f aca="false">IFERROR(YEAR('F-Class'!A46),"")</f>
        <v>1899</v>
      </c>
      <c r="I146" s="1" t="n">
        <f aca="false">IF(AND('F-Class'!D46&lt;&gt;"",'F-Class'!S46&lt;&gt;""),1,0)</f>
        <v>0</v>
      </c>
    </row>
    <row r="147" customFormat="false" ht="15" hidden="false" customHeight="true" outlineLevel="0" collapsed="false">
      <c r="A147" s="83" t="n">
        <f aca="false">'F-Class'!A47</f>
        <v>0</v>
      </c>
      <c r="B147" s="1" t="n">
        <f aca="false">'F-Class'!C47</f>
        <v>0</v>
      </c>
      <c r="C147" s="1" t="n">
        <f aca="false">'F-Class'!D47</f>
        <v>0</v>
      </c>
      <c r="D147" s="1" t="str">
        <f aca="false">'F-Class'!E47</f>
        <v/>
      </c>
      <c r="E147" s="1" t="str">
        <f aca="false">'F-Class'!F47</f>
        <v/>
      </c>
      <c r="F147" s="1" t="n">
        <f aca="false">IF('F-Class'!S47="",0,'F-Class'!S47)</f>
        <v>0</v>
      </c>
      <c r="G147" s="1" t="n">
        <f aca="false">IF('F-Class'!T47="",0,'F-Class'!T47)</f>
        <v>0</v>
      </c>
      <c r="H147" s="1" t="n">
        <f aca="false">IFERROR(YEAR('F-Class'!A47),"")</f>
        <v>1899</v>
      </c>
      <c r="I147" s="1" t="n">
        <f aca="false">IF(AND('F-Class'!D47&lt;&gt;"",'F-Class'!S47&lt;&gt;""),1,0)</f>
        <v>0</v>
      </c>
    </row>
    <row r="148" customFormat="false" ht="15" hidden="false" customHeight="true" outlineLevel="0" collapsed="false">
      <c r="A148" s="83" t="n">
        <f aca="false">'F-Class'!A48</f>
        <v>0</v>
      </c>
      <c r="B148" s="1" t="n">
        <f aca="false">'F-Class'!C48</f>
        <v>0</v>
      </c>
      <c r="C148" s="1" t="n">
        <f aca="false">'F-Class'!D48</f>
        <v>0</v>
      </c>
      <c r="D148" s="1" t="str">
        <f aca="false">'F-Class'!E48</f>
        <v/>
      </c>
      <c r="E148" s="1" t="str">
        <f aca="false">'F-Class'!F48</f>
        <v/>
      </c>
      <c r="F148" s="1" t="n">
        <f aca="false">IF('F-Class'!S48="",0,'F-Class'!S48)</f>
        <v>0</v>
      </c>
      <c r="G148" s="1" t="n">
        <f aca="false">IF('F-Class'!T48="",0,'F-Class'!T48)</f>
        <v>0</v>
      </c>
      <c r="H148" s="1" t="n">
        <f aca="false">IFERROR(YEAR('F-Class'!A48),"")</f>
        <v>1899</v>
      </c>
      <c r="I148" s="1" t="n">
        <f aca="false">IF(AND('F-Class'!D48&lt;&gt;"",'F-Class'!S48&lt;&gt;""),1,0)</f>
        <v>0</v>
      </c>
    </row>
    <row r="149" customFormat="false" ht="15" hidden="false" customHeight="true" outlineLevel="0" collapsed="false">
      <c r="A149" s="83" t="n">
        <f aca="false">'F-Class'!A49</f>
        <v>0</v>
      </c>
      <c r="B149" s="1" t="n">
        <f aca="false">'F-Class'!C49</f>
        <v>0</v>
      </c>
      <c r="C149" s="1" t="n">
        <f aca="false">'F-Class'!D49</f>
        <v>0</v>
      </c>
      <c r="D149" s="1" t="str">
        <f aca="false">'F-Class'!E49</f>
        <v/>
      </c>
      <c r="E149" s="1" t="str">
        <f aca="false">'F-Class'!F49</f>
        <v/>
      </c>
      <c r="F149" s="1" t="n">
        <f aca="false">IF('F-Class'!S49="",0,'F-Class'!S49)</f>
        <v>0</v>
      </c>
      <c r="G149" s="1" t="n">
        <f aca="false">IF('F-Class'!T49="",0,'F-Class'!T49)</f>
        <v>0</v>
      </c>
      <c r="H149" s="1" t="n">
        <f aca="false">IFERROR(YEAR('F-Class'!A49),"")</f>
        <v>1899</v>
      </c>
      <c r="I149" s="1" t="n">
        <f aca="false">IF(AND('F-Class'!D49&lt;&gt;"",'F-Class'!S49&lt;&gt;""),1,0)</f>
        <v>0</v>
      </c>
    </row>
    <row r="150" customFormat="false" ht="15" hidden="false" customHeight="true" outlineLevel="0" collapsed="false">
      <c r="A150" s="83" t="n">
        <f aca="false">'F-Class'!A50</f>
        <v>0</v>
      </c>
      <c r="B150" s="1" t="n">
        <f aca="false">'F-Class'!C50</f>
        <v>0</v>
      </c>
      <c r="C150" s="1" t="n">
        <f aca="false">'F-Class'!D50</f>
        <v>0</v>
      </c>
      <c r="D150" s="1" t="str">
        <f aca="false">'F-Class'!E50</f>
        <v/>
      </c>
      <c r="E150" s="1" t="str">
        <f aca="false">'F-Class'!F50</f>
        <v/>
      </c>
      <c r="F150" s="1" t="n">
        <f aca="false">IF('F-Class'!S50="",0,'F-Class'!S50)</f>
        <v>0</v>
      </c>
      <c r="G150" s="1" t="n">
        <f aca="false">IF('F-Class'!T50="",0,'F-Class'!T50)</f>
        <v>0</v>
      </c>
      <c r="H150" s="1" t="n">
        <f aca="false">IFERROR(YEAR('F-Class'!A50),"")</f>
        <v>1899</v>
      </c>
      <c r="I150" s="1" t="n">
        <f aca="false">IF(AND('F-Class'!D50&lt;&gt;"",'F-Class'!S50&lt;&gt;""),1,0)</f>
        <v>0</v>
      </c>
    </row>
    <row r="151" customFormat="false" ht="15" hidden="false" customHeight="true" outlineLevel="0" collapsed="false">
      <c r="A151" s="83" t="n">
        <f aca="false">'F-Class'!A51</f>
        <v>0</v>
      </c>
      <c r="B151" s="1" t="n">
        <f aca="false">'F-Class'!C51</f>
        <v>0</v>
      </c>
      <c r="C151" s="1" t="n">
        <f aca="false">'F-Class'!D51</f>
        <v>0</v>
      </c>
      <c r="D151" s="1" t="str">
        <f aca="false">'F-Class'!E51</f>
        <v/>
      </c>
      <c r="E151" s="1" t="str">
        <f aca="false">'F-Class'!F51</f>
        <v/>
      </c>
      <c r="F151" s="1" t="n">
        <f aca="false">IF('F-Class'!S51="",0,'F-Class'!S51)</f>
        <v>0</v>
      </c>
      <c r="G151" s="1" t="n">
        <f aca="false">IF('F-Class'!T51="",0,'F-Class'!T51)</f>
        <v>0</v>
      </c>
      <c r="H151" s="1" t="n">
        <f aca="false">IFERROR(YEAR('F-Class'!A51),"")</f>
        <v>1899</v>
      </c>
      <c r="I151" s="1" t="n">
        <f aca="false">IF(AND('F-Class'!D51&lt;&gt;"",'F-Class'!S51&lt;&gt;""),1,0)</f>
        <v>0</v>
      </c>
    </row>
    <row r="152" customFormat="false" ht="15" hidden="false" customHeight="true" outlineLevel="0" collapsed="false">
      <c r="A152" s="83" t="n">
        <f aca="false">'F-Class'!A52</f>
        <v>0</v>
      </c>
      <c r="B152" s="1" t="n">
        <f aca="false">'F-Class'!C52</f>
        <v>0</v>
      </c>
      <c r="C152" s="1" t="n">
        <f aca="false">'F-Class'!D52</f>
        <v>0</v>
      </c>
      <c r="D152" s="1" t="str">
        <f aca="false">'F-Class'!E52</f>
        <v/>
      </c>
      <c r="E152" s="1" t="str">
        <f aca="false">'F-Class'!F52</f>
        <v/>
      </c>
      <c r="F152" s="1" t="n">
        <f aca="false">IF('F-Class'!S52="",0,'F-Class'!S52)</f>
        <v>0</v>
      </c>
      <c r="G152" s="1" t="n">
        <f aca="false">IF('F-Class'!T52="",0,'F-Class'!T52)</f>
        <v>0</v>
      </c>
      <c r="H152" s="1" t="n">
        <f aca="false">IFERROR(YEAR('F-Class'!A52),"")</f>
        <v>1899</v>
      </c>
      <c r="I152" s="1" t="n">
        <f aca="false">IF(AND('F-Class'!D52&lt;&gt;"",'F-Class'!S52&lt;&gt;""),1,0)</f>
        <v>0</v>
      </c>
    </row>
    <row r="153" customFormat="false" ht="15" hidden="false" customHeight="true" outlineLevel="0" collapsed="false">
      <c r="A153" s="83" t="n">
        <f aca="false">'F-Class'!A53</f>
        <v>0</v>
      </c>
      <c r="B153" s="1" t="n">
        <f aca="false">'F-Class'!C53</f>
        <v>0</v>
      </c>
      <c r="C153" s="1" t="n">
        <f aca="false">'F-Class'!D53</f>
        <v>0</v>
      </c>
      <c r="D153" s="1" t="str">
        <f aca="false">'F-Class'!E53</f>
        <v/>
      </c>
      <c r="E153" s="1" t="str">
        <f aca="false">'F-Class'!F53</f>
        <v/>
      </c>
      <c r="F153" s="1" t="n">
        <f aca="false">IF('F-Class'!S53="",0,'F-Class'!S53)</f>
        <v>0</v>
      </c>
      <c r="G153" s="1" t="n">
        <f aca="false">IF('F-Class'!T53="",0,'F-Class'!T53)</f>
        <v>0</v>
      </c>
      <c r="H153" s="1" t="n">
        <f aca="false">IFERROR(YEAR('F-Class'!A53),"")</f>
        <v>1899</v>
      </c>
      <c r="I153" s="1" t="n">
        <f aca="false">IF(AND('F-Class'!D53&lt;&gt;"",'F-Class'!S53&lt;&gt;""),1,0)</f>
        <v>0</v>
      </c>
    </row>
    <row r="154" customFormat="false" ht="15" hidden="false" customHeight="true" outlineLevel="0" collapsed="false">
      <c r="A154" s="83" t="n">
        <f aca="false">'F-Class'!A54</f>
        <v>0</v>
      </c>
      <c r="B154" s="1" t="n">
        <f aca="false">'F-Class'!C54</f>
        <v>0</v>
      </c>
      <c r="C154" s="1" t="n">
        <f aca="false">'F-Class'!D54</f>
        <v>0</v>
      </c>
      <c r="D154" s="1" t="str">
        <f aca="false">'F-Class'!E54</f>
        <v/>
      </c>
      <c r="E154" s="1" t="str">
        <f aca="false">'F-Class'!F54</f>
        <v/>
      </c>
      <c r="F154" s="1" t="n">
        <f aca="false">IF('F-Class'!S54="",0,'F-Class'!S54)</f>
        <v>0</v>
      </c>
      <c r="G154" s="1" t="n">
        <f aca="false">IF('F-Class'!T54="",0,'F-Class'!T54)</f>
        <v>0</v>
      </c>
      <c r="H154" s="1" t="n">
        <f aca="false">IFERROR(YEAR('F-Class'!A54),"")</f>
        <v>1899</v>
      </c>
      <c r="I154" s="1" t="n">
        <f aca="false">IF(AND('F-Class'!D54&lt;&gt;"",'F-Class'!S54&lt;&gt;""),1,0)</f>
        <v>0</v>
      </c>
    </row>
    <row r="155" customFormat="false" ht="15" hidden="false" customHeight="true" outlineLevel="0" collapsed="false">
      <c r="A155" s="83" t="n">
        <f aca="false">'F-Class'!A55</f>
        <v>0</v>
      </c>
      <c r="B155" s="1" t="n">
        <f aca="false">'F-Class'!C55</f>
        <v>0</v>
      </c>
      <c r="C155" s="1" t="n">
        <f aca="false">'F-Class'!D55</f>
        <v>0</v>
      </c>
      <c r="D155" s="1" t="str">
        <f aca="false">'F-Class'!E55</f>
        <v/>
      </c>
      <c r="E155" s="1" t="str">
        <f aca="false">'F-Class'!F55</f>
        <v/>
      </c>
      <c r="F155" s="1" t="n">
        <f aca="false">IF('F-Class'!S55="",0,'F-Class'!S55)</f>
        <v>0</v>
      </c>
      <c r="G155" s="1" t="n">
        <f aca="false">IF('F-Class'!T55="",0,'F-Class'!T55)</f>
        <v>0</v>
      </c>
      <c r="H155" s="1" t="n">
        <f aca="false">IFERROR(YEAR('F-Class'!A55),"")</f>
        <v>1899</v>
      </c>
      <c r="I155" s="1" t="n">
        <f aca="false">IF(AND('F-Class'!D55&lt;&gt;"",'F-Class'!S55&lt;&gt;""),1,0)</f>
        <v>0</v>
      </c>
    </row>
    <row r="156" customFormat="false" ht="15" hidden="false" customHeight="true" outlineLevel="0" collapsed="false">
      <c r="A156" s="83" t="n">
        <f aca="false">'F-Class'!A56</f>
        <v>0</v>
      </c>
      <c r="B156" s="1" t="n">
        <f aca="false">'F-Class'!C56</f>
        <v>0</v>
      </c>
      <c r="C156" s="1" t="n">
        <f aca="false">'F-Class'!D56</f>
        <v>0</v>
      </c>
      <c r="D156" s="1" t="str">
        <f aca="false">'F-Class'!E56</f>
        <v/>
      </c>
      <c r="E156" s="1" t="str">
        <f aca="false">'F-Class'!F56</f>
        <v/>
      </c>
      <c r="F156" s="1" t="n">
        <f aca="false">IF('F-Class'!S56="",0,'F-Class'!S56)</f>
        <v>0</v>
      </c>
      <c r="G156" s="1" t="n">
        <f aca="false">IF('F-Class'!T56="",0,'F-Class'!T56)</f>
        <v>0</v>
      </c>
      <c r="H156" s="1" t="n">
        <f aca="false">IFERROR(YEAR('F-Class'!A56),"")</f>
        <v>1899</v>
      </c>
      <c r="I156" s="1" t="n">
        <f aca="false">IF(AND('F-Class'!D56&lt;&gt;"",'F-Class'!S56&lt;&gt;""),1,0)</f>
        <v>0</v>
      </c>
    </row>
    <row r="157" customFormat="false" ht="15" hidden="false" customHeight="true" outlineLevel="0" collapsed="false">
      <c r="A157" s="83" t="n">
        <f aca="false">'F-Class'!A57</f>
        <v>0</v>
      </c>
      <c r="B157" s="1" t="n">
        <f aca="false">'F-Class'!C57</f>
        <v>0</v>
      </c>
      <c r="C157" s="1" t="n">
        <f aca="false">'F-Class'!D57</f>
        <v>0</v>
      </c>
      <c r="D157" s="1" t="str">
        <f aca="false">'F-Class'!E57</f>
        <v/>
      </c>
      <c r="E157" s="1" t="str">
        <f aca="false">'F-Class'!F57</f>
        <v/>
      </c>
      <c r="F157" s="1" t="n">
        <f aca="false">IF('F-Class'!S57="",0,'F-Class'!S57)</f>
        <v>0</v>
      </c>
      <c r="G157" s="1" t="n">
        <f aca="false">IF('F-Class'!T57="",0,'F-Class'!T57)</f>
        <v>0</v>
      </c>
      <c r="H157" s="1" t="n">
        <f aca="false">IFERROR(YEAR('F-Class'!A57),"")</f>
        <v>1899</v>
      </c>
      <c r="I157" s="1" t="n">
        <f aca="false">IF(AND('F-Class'!D57&lt;&gt;"",'F-Class'!S57&lt;&gt;""),1,0)</f>
        <v>0</v>
      </c>
    </row>
    <row r="158" customFormat="false" ht="15" hidden="false" customHeight="true" outlineLevel="0" collapsed="false">
      <c r="A158" s="83" t="n">
        <f aca="false">'F-Class'!A58</f>
        <v>0</v>
      </c>
      <c r="B158" s="1" t="n">
        <f aca="false">'F-Class'!C58</f>
        <v>0</v>
      </c>
      <c r="C158" s="1" t="n">
        <f aca="false">'F-Class'!D58</f>
        <v>0</v>
      </c>
      <c r="D158" s="1" t="str">
        <f aca="false">'F-Class'!E58</f>
        <v/>
      </c>
      <c r="E158" s="1" t="str">
        <f aca="false">'F-Class'!F58</f>
        <v/>
      </c>
      <c r="F158" s="1" t="n">
        <f aca="false">IF('F-Class'!S58="",0,'F-Class'!S58)</f>
        <v>0</v>
      </c>
      <c r="G158" s="1" t="n">
        <f aca="false">IF('F-Class'!T58="",0,'F-Class'!T58)</f>
        <v>0</v>
      </c>
      <c r="H158" s="1" t="n">
        <f aca="false">IFERROR(YEAR('F-Class'!A58),"")</f>
        <v>1899</v>
      </c>
      <c r="I158" s="1" t="n">
        <f aca="false">IF(AND('F-Class'!D58&lt;&gt;"",'F-Class'!S58&lt;&gt;""),1,0)</f>
        <v>0</v>
      </c>
    </row>
    <row r="159" customFormat="false" ht="15" hidden="false" customHeight="true" outlineLevel="0" collapsed="false">
      <c r="A159" s="83" t="n">
        <f aca="false">'F-Class'!A59</f>
        <v>0</v>
      </c>
      <c r="B159" s="1" t="n">
        <f aca="false">'F-Class'!C59</f>
        <v>0</v>
      </c>
      <c r="C159" s="1" t="n">
        <f aca="false">'F-Class'!D59</f>
        <v>0</v>
      </c>
      <c r="D159" s="1" t="str">
        <f aca="false">'F-Class'!E59</f>
        <v/>
      </c>
      <c r="E159" s="1" t="str">
        <f aca="false">'F-Class'!F59</f>
        <v/>
      </c>
      <c r="F159" s="1" t="n">
        <f aca="false">IF('F-Class'!S59="",0,'F-Class'!S59)</f>
        <v>0</v>
      </c>
      <c r="G159" s="1" t="n">
        <f aca="false">IF('F-Class'!T59="",0,'F-Class'!T59)</f>
        <v>0</v>
      </c>
      <c r="H159" s="1" t="n">
        <f aca="false">IFERROR(YEAR('F-Class'!A59),"")</f>
        <v>1899</v>
      </c>
      <c r="I159" s="1" t="n">
        <f aca="false">IF(AND('F-Class'!D59&lt;&gt;"",'F-Class'!S59&lt;&gt;""),1,0)</f>
        <v>0</v>
      </c>
    </row>
    <row r="160" customFormat="false" ht="15" hidden="false" customHeight="true" outlineLevel="0" collapsed="false">
      <c r="A160" s="83" t="n">
        <f aca="false">'F-Class'!A60</f>
        <v>0</v>
      </c>
      <c r="B160" s="1" t="n">
        <f aca="false">'F-Class'!C60</f>
        <v>0</v>
      </c>
      <c r="C160" s="1" t="n">
        <f aca="false">'F-Class'!D60</f>
        <v>0</v>
      </c>
      <c r="D160" s="1" t="str">
        <f aca="false">'F-Class'!E60</f>
        <v/>
      </c>
      <c r="E160" s="1" t="str">
        <f aca="false">'F-Class'!F60</f>
        <v/>
      </c>
      <c r="F160" s="1" t="n">
        <f aca="false">IF('F-Class'!S60="",0,'F-Class'!S60)</f>
        <v>0</v>
      </c>
      <c r="G160" s="1" t="n">
        <f aca="false">IF('F-Class'!T60="",0,'F-Class'!T60)</f>
        <v>0</v>
      </c>
      <c r="H160" s="1" t="n">
        <f aca="false">IFERROR(YEAR('F-Class'!A60),"")</f>
        <v>1899</v>
      </c>
      <c r="I160" s="1" t="n">
        <f aca="false">IF(AND('F-Class'!D60&lt;&gt;"",'F-Class'!S60&lt;&gt;""),1,0)</f>
        <v>0</v>
      </c>
    </row>
    <row r="161" customFormat="false" ht="15" hidden="false" customHeight="true" outlineLevel="0" collapsed="false">
      <c r="A161" s="83" t="n">
        <f aca="false">'F-Class'!A61</f>
        <v>0</v>
      </c>
      <c r="B161" s="1" t="n">
        <f aca="false">'F-Class'!C61</f>
        <v>0</v>
      </c>
      <c r="C161" s="1" t="n">
        <f aca="false">'F-Class'!D61</f>
        <v>0</v>
      </c>
      <c r="D161" s="1" t="str">
        <f aca="false">'F-Class'!E61</f>
        <v/>
      </c>
      <c r="E161" s="1" t="str">
        <f aca="false">'F-Class'!F61</f>
        <v/>
      </c>
      <c r="F161" s="1" t="n">
        <f aca="false">IF('F-Class'!S61="",0,'F-Class'!S61)</f>
        <v>0</v>
      </c>
      <c r="G161" s="1" t="n">
        <f aca="false">IF('F-Class'!T61="",0,'F-Class'!T61)</f>
        <v>0</v>
      </c>
      <c r="H161" s="1" t="n">
        <f aca="false">IFERROR(YEAR('F-Class'!A61),"")</f>
        <v>1899</v>
      </c>
      <c r="I161" s="1" t="n">
        <f aca="false">IF(AND('F-Class'!D61&lt;&gt;"",'F-Class'!S61&lt;&gt;""),1,0)</f>
        <v>0</v>
      </c>
    </row>
    <row r="162" customFormat="false" ht="15" hidden="false" customHeight="true" outlineLevel="0" collapsed="false">
      <c r="A162" s="83" t="n">
        <f aca="false">'F-Class'!A62</f>
        <v>0</v>
      </c>
      <c r="B162" s="1" t="n">
        <f aca="false">'F-Class'!C62</f>
        <v>0</v>
      </c>
      <c r="C162" s="1" t="n">
        <f aca="false">'F-Class'!D62</f>
        <v>0</v>
      </c>
      <c r="D162" s="1" t="str">
        <f aca="false">'F-Class'!E62</f>
        <v/>
      </c>
      <c r="E162" s="1" t="str">
        <f aca="false">'F-Class'!F62</f>
        <v/>
      </c>
      <c r="F162" s="1" t="n">
        <f aca="false">IF('F-Class'!S62="",0,'F-Class'!S62)</f>
        <v>0</v>
      </c>
      <c r="G162" s="1" t="n">
        <f aca="false">IF('F-Class'!T62="",0,'F-Class'!T62)</f>
        <v>0</v>
      </c>
      <c r="H162" s="1" t="n">
        <f aca="false">IFERROR(YEAR('F-Class'!A62),"")</f>
        <v>1899</v>
      </c>
      <c r="I162" s="1" t="n">
        <f aca="false">IF(AND('F-Class'!D62&lt;&gt;"",'F-Class'!S62&lt;&gt;""),1,0)</f>
        <v>0</v>
      </c>
    </row>
    <row r="163" customFormat="false" ht="15" hidden="false" customHeight="true" outlineLevel="0" collapsed="false">
      <c r="A163" s="83" t="n">
        <f aca="false">'F-Class'!A63</f>
        <v>0</v>
      </c>
      <c r="B163" s="1" t="n">
        <f aca="false">'F-Class'!C63</f>
        <v>0</v>
      </c>
      <c r="C163" s="1" t="n">
        <f aca="false">'F-Class'!D63</f>
        <v>0</v>
      </c>
      <c r="D163" s="1" t="str">
        <f aca="false">'F-Class'!E63</f>
        <v/>
      </c>
      <c r="E163" s="1" t="str">
        <f aca="false">'F-Class'!F63</f>
        <v/>
      </c>
      <c r="F163" s="1" t="n">
        <f aca="false">IF('F-Class'!S63="",0,'F-Class'!S63)</f>
        <v>0</v>
      </c>
      <c r="G163" s="1" t="n">
        <f aca="false">IF('F-Class'!T63="",0,'F-Class'!T63)</f>
        <v>0</v>
      </c>
      <c r="H163" s="1" t="n">
        <f aca="false">IFERROR(YEAR('F-Class'!A63),"")</f>
        <v>1899</v>
      </c>
      <c r="I163" s="1" t="n">
        <f aca="false">IF(AND('F-Class'!D63&lt;&gt;"",'F-Class'!S63&lt;&gt;""),1,0)</f>
        <v>0</v>
      </c>
    </row>
    <row r="164" customFormat="false" ht="15" hidden="false" customHeight="true" outlineLevel="0" collapsed="false">
      <c r="A164" s="83" t="n">
        <f aca="false">'F-Class'!A64</f>
        <v>0</v>
      </c>
      <c r="B164" s="1" t="n">
        <f aca="false">'F-Class'!C64</f>
        <v>0</v>
      </c>
      <c r="C164" s="1" t="n">
        <f aca="false">'F-Class'!D64</f>
        <v>0</v>
      </c>
      <c r="D164" s="1" t="str">
        <f aca="false">'F-Class'!E64</f>
        <v/>
      </c>
      <c r="E164" s="1" t="str">
        <f aca="false">'F-Class'!F64</f>
        <v/>
      </c>
      <c r="F164" s="1" t="n">
        <f aca="false">IF('F-Class'!S64="",0,'F-Class'!S64)</f>
        <v>0</v>
      </c>
      <c r="G164" s="1" t="n">
        <f aca="false">IF('F-Class'!T64="",0,'F-Class'!T64)</f>
        <v>0</v>
      </c>
      <c r="H164" s="1" t="n">
        <f aca="false">IFERROR(YEAR('F-Class'!A64),"")</f>
        <v>1899</v>
      </c>
      <c r="I164" s="1" t="n">
        <f aca="false">IF(AND('F-Class'!D64&lt;&gt;"",'F-Class'!S64&lt;&gt;""),1,0)</f>
        <v>0</v>
      </c>
    </row>
    <row r="165" customFormat="false" ht="15" hidden="false" customHeight="true" outlineLevel="0" collapsed="false">
      <c r="A165" s="83" t="n">
        <f aca="false">'F-Class'!A65</f>
        <v>0</v>
      </c>
      <c r="B165" s="1" t="n">
        <f aca="false">'F-Class'!C65</f>
        <v>0</v>
      </c>
      <c r="C165" s="1" t="n">
        <f aca="false">'F-Class'!D65</f>
        <v>0</v>
      </c>
      <c r="D165" s="1" t="str">
        <f aca="false">'F-Class'!E65</f>
        <v/>
      </c>
      <c r="E165" s="1" t="str">
        <f aca="false">'F-Class'!F65</f>
        <v/>
      </c>
      <c r="F165" s="1" t="n">
        <f aca="false">IF('F-Class'!S65="",0,'F-Class'!S65)</f>
        <v>0</v>
      </c>
      <c r="G165" s="1" t="n">
        <f aca="false">IF('F-Class'!T65="",0,'F-Class'!T65)</f>
        <v>0</v>
      </c>
      <c r="H165" s="1" t="n">
        <f aca="false">IFERROR(YEAR('F-Class'!A65),"")</f>
        <v>1899</v>
      </c>
      <c r="I165" s="1" t="n">
        <f aca="false">IF(AND('F-Class'!D65&lt;&gt;"",'F-Class'!S65&lt;&gt;""),1,0)</f>
        <v>0</v>
      </c>
    </row>
    <row r="166" customFormat="false" ht="15" hidden="false" customHeight="true" outlineLevel="0" collapsed="false">
      <c r="A166" s="83" t="n">
        <f aca="false">'F-Class'!A66</f>
        <v>0</v>
      </c>
      <c r="B166" s="1" t="n">
        <f aca="false">'F-Class'!C66</f>
        <v>0</v>
      </c>
      <c r="C166" s="1" t="n">
        <f aca="false">'F-Class'!D66</f>
        <v>0</v>
      </c>
      <c r="D166" s="1" t="str">
        <f aca="false">'F-Class'!E66</f>
        <v/>
      </c>
      <c r="E166" s="1" t="str">
        <f aca="false">'F-Class'!F66</f>
        <v/>
      </c>
      <c r="F166" s="1" t="n">
        <f aca="false">IF('F-Class'!S66="",0,'F-Class'!S66)</f>
        <v>0</v>
      </c>
      <c r="G166" s="1" t="n">
        <f aca="false">IF('F-Class'!T66="",0,'F-Class'!T66)</f>
        <v>0</v>
      </c>
      <c r="H166" s="1" t="n">
        <f aca="false">IFERROR(YEAR('F-Class'!A66),"")</f>
        <v>1899</v>
      </c>
      <c r="I166" s="1" t="n">
        <f aca="false">IF(AND('F-Class'!D66&lt;&gt;"",'F-Class'!S66&lt;&gt;""),1,0)</f>
        <v>0</v>
      </c>
    </row>
    <row r="167" customFormat="false" ht="15" hidden="false" customHeight="true" outlineLevel="0" collapsed="false">
      <c r="A167" s="83" t="n">
        <f aca="false">'F-Class'!A67</f>
        <v>0</v>
      </c>
      <c r="B167" s="1" t="n">
        <f aca="false">'F-Class'!C67</f>
        <v>0</v>
      </c>
      <c r="C167" s="1" t="n">
        <f aca="false">'F-Class'!D67</f>
        <v>0</v>
      </c>
      <c r="D167" s="1" t="str">
        <f aca="false">'F-Class'!E67</f>
        <v/>
      </c>
      <c r="E167" s="1" t="str">
        <f aca="false">'F-Class'!F67</f>
        <v/>
      </c>
      <c r="F167" s="1" t="n">
        <f aca="false">IF('F-Class'!S67="",0,'F-Class'!S67)</f>
        <v>0</v>
      </c>
      <c r="G167" s="1" t="n">
        <f aca="false">IF('F-Class'!T67="",0,'F-Class'!T67)</f>
        <v>0</v>
      </c>
      <c r="H167" s="1" t="n">
        <f aca="false">IFERROR(YEAR('F-Class'!A67),"")</f>
        <v>1899</v>
      </c>
      <c r="I167" s="1" t="n">
        <f aca="false">IF(AND('F-Class'!D67&lt;&gt;"",'F-Class'!S67&lt;&gt;""),1,0)</f>
        <v>0</v>
      </c>
    </row>
    <row r="168" customFormat="false" ht="15" hidden="false" customHeight="true" outlineLevel="0" collapsed="false">
      <c r="A168" s="83" t="n">
        <f aca="false">'F-Class'!A68</f>
        <v>0</v>
      </c>
      <c r="B168" s="1" t="n">
        <f aca="false">'F-Class'!C68</f>
        <v>0</v>
      </c>
      <c r="C168" s="1" t="n">
        <f aca="false">'F-Class'!D68</f>
        <v>0</v>
      </c>
      <c r="D168" s="1" t="str">
        <f aca="false">'F-Class'!E68</f>
        <v/>
      </c>
      <c r="E168" s="1" t="str">
        <f aca="false">'F-Class'!F68</f>
        <v/>
      </c>
      <c r="F168" s="1" t="n">
        <f aca="false">IF('F-Class'!S68="",0,'F-Class'!S68)</f>
        <v>0</v>
      </c>
      <c r="G168" s="1" t="n">
        <f aca="false">IF('F-Class'!T68="",0,'F-Class'!T68)</f>
        <v>0</v>
      </c>
      <c r="H168" s="1" t="n">
        <f aca="false">IFERROR(YEAR('F-Class'!A68),"")</f>
        <v>1899</v>
      </c>
      <c r="I168" s="1" t="n">
        <f aca="false">IF(AND('F-Class'!D68&lt;&gt;"",'F-Class'!S68&lt;&gt;""),1,0)</f>
        <v>0</v>
      </c>
    </row>
    <row r="169" customFormat="false" ht="15" hidden="false" customHeight="true" outlineLevel="0" collapsed="false">
      <c r="A169" s="83" t="n">
        <f aca="false">'F-Class'!A69</f>
        <v>0</v>
      </c>
      <c r="B169" s="1" t="n">
        <f aca="false">'F-Class'!C69</f>
        <v>0</v>
      </c>
      <c r="C169" s="1" t="n">
        <f aca="false">'F-Class'!D69</f>
        <v>0</v>
      </c>
      <c r="D169" s="1" t="str">
        <f aca="false">'F-Class'!E69</f>
        <v/>
      </c>
      <c r="E169" s="1" t="str">
        <f aca="false">'F-Class'!F69</f>
        <v/>
      </c>
      <c r="F169" s="1" t="n">
        <f aca="false">IF('F-Class'!S69="",0,'F-Class'!S69)</f>
        <v>0</v>
      </c>
      <c r="G169" s="1" t="n">
        <f aca="false">IF('F-Class'!T69="",0,'F-Class'!T69)</f>
        <v>0</v>
      </c>
      <c r="H169" s="1" t="n">
        <f aca="false">IFERROR(YEAR('F-Class'!A69),"")</f>
        <v>1899</v>
      </c>
      <c r="I169" s="1" t="n">
        <f aca="false">IF(AND('F-Class'!D69&lt;&gt;"",'F-Class'!S69&lt;&gt;""),1,0)</f>
        <v>0</v>
      </c>
    </row>
    <row r="170" customFormat="false" ht="15" hidden="false" customHeight="true" outlineLevel="0" collapsed="false">
      <c r="A170" s="83" t="n">
        <f aca="false">'F-Class'!A70</f>
        <v>0</v>
      </c>
      <c r="B170" s="1" t="n">
        <f aca="false">'F-Class'!C70</f>
        <v>0</v>
      </c>
      <c r="C170" s="1" t="n">
        <f aca="false">'F-Class'!D70</f>
        <v>0</v>
      </c>
      <c r="D170" s="1" t="str">
        <f aca="false">'F-Class'!E70</f>
        <v/>
      </c>
      <c r="E170" s="1" t="str">
        <f aca="false">'F-Class'!F70</f>
        <v/>
      </c>
      <c r="F170" s="1" t="n">
        <f aca="false">IF('F-Class'!S70="",0,'F-Class'!S70)</f>
        <v>0</v>
      </c>
      <c r="G170" s="1" t="n">
        <f aca="false">IF('F-Class'!T70="",0,'F-Class'!T70)</f>
        <v>0</v>
      </c>
      <c r="H170" s="1" t="n">
        <f aca="false">IFERROR(YEAR('F-Class'!A70),"")</f>
        <v>1899</v>
      </c>
      <c r="I170" s="1" t="n">
        <f aca="false">IF(AND('F-Class'!D70&lt;&gt;"",'F-Class'!S70&lt;&gt;""),1,0)</f>
        <v>0</v>
      </c>
    </row>
    <row r="171" customFormat="false" ht="15" hidden="false" customHeight="true" outlineLevel="0" collapsed="false">
      <c r="A171" s="83" t="n">
        <f aca="false">'F-Class'!A71</f>
        <v>0</v>
      </c>
      <c r="B171" s="1" t="n">
        <f aca="false">'F-Class'!C71</f>
        <v>0</v>
      </c>
      <c r="C171" s="1" t="n">
        <f aca="false">'F-Class'!D71</f>
        <v>0</v>
      </c>
      <c r="D171" s="1" t="str">
        <f aca="false">'F-Class'!E71</f>
        <v/>
      </c>
      <c r="E171" s="1" t="str">
        <f aca="false">'F-Class'!F71</f>
        <v/>
      </c>
      <c r="F171" s="1" t="n">
        <f aca="false">IF('F-Class'!S71="",0,'F-Class'!S71)</f>
        <v>0</v>
      </c>
      <c r="G171" s="1" t="n">
        <f aca="false">IF('F-Class'!T71="",0,'F-Class'!T71)</f>
        <v>0</v>
      </c>
      <c r="H171" s="1" t="n">
        <f aca="false">IFERROR(YEAR('F-Class'!A71),"")</f>
        <v>1899</v>
      </c>
      <c r="I171" s="1" t="n">
        <f aca="false">IF(AND('F-Class'!D71&lt;&gt;"",'F-Class'!S71&lt;&gt;""),1,0)</f>
        <v>0</v>
      </c>
    </row>
    <row r="172" customFormat="false" ht="15" hidden="false" customHeight="true" outlineLevel="0" collapsed="false">
      <c r="A172" s="83" t="n">
        <f aca="false">'F-Class'!A72</f>
        <v>0</v>
      </c>
      <c r="B172" s="1" t="n">
        <f aca="false">'F-Class'!C72</f>
        <v>0</v>
      </c>
      <c r="C172" s="1" t="n">
        <f aca="false">'F-Class'!D72</f>
        <v>0</v>
      </c>
      <c r="D172" s="1" t="str">
        <f aca="false">'F-Class'!E72</f>
        <v/>
      </c>
      <c r="E172" s="1" t="str">
        <f aca="false">'F-Class'!F72</f>
        <v/>
      </c>
      <c r="F172" s="1" t="n">
        <f aca="false">IF('F-Class'!S72="",0,'F-Class'!S72)</f>
        <v>0</v>
      </c>
      <c r="G172" s="1" t="n">
        <f aca="false">IF('F-Class'!T72="",0,'F-Class'!T72)</f>
        <v>0</v>
      </c>
      <c r="H172" s="1" t="n">
        <f aca="false">IFERROR(YEAR('F-Class'!A72),"")</f>
        <v>1899</v>
      </c>
      <c r="I172" s="1" t="n">
        <f aca="false">IF(AND('F-Class'!D72&lt;&gt;"",'F-Class'!S72&lt;&gt;""),1,0)</f>
        <v>0</v>
      </c>
    </row>
    <row r="173" customFormat="false" ht="15" hidden="false" customHeight="true" outlineLevel="0" collapsed="false">
      <c r="A173" s="83" t="n">
        <f aca="false">'F-Class'!A73</f>
        <v>0</v>
      </c>
      <c r="B173" s="1" t="n">
        <f aca="false">'F-Class'!C73</f>
        <v>0</v>
      </c>
      <c r="C173" s="1" t="n">
        <f aca="false">'F-Class'!D73</f>
        <v>0</v>
      </c>
      <c r="D173" s="1" t="str">
        <f aca="false">'F-Class'!E73</f>
        <v/>
      </c>
      <c r="E173" s="1" t="str">
        <f aca="false">'F-Class'!F73</f>
        <v/>
      </c>
      <c r="F173" s="1" t="n">
        <f aca="false">IF('F-Class'!S73="",0,'F-Class'!S73)</f>
        <v>0</v>
      </c>
      <c r="G173" s="1" t="n">
        <f aca="false">IF('F-Class'!T73="",0,'F-Class'!T73)</f>
        <v>0</v>
      </c>
      <c r="H173" s="1" t="n">
        <f aca="false">IFERROR(YEAR('F-Class'!A73),"")</f>
        <v>1899</v>
      </c>
      <c r="I173" s="1" t="n">
        <f aca="false">IF(AND('F-Class'!D73&lt;&gt;"",'F-Class'!S73&lt;&gt;""),1,0)</f>
        <v>0</v>
      </c>
    </row>
    <row r="174" customFormat="false" ht="15" hidden="false" customHeight="true" outlineLevel="0" collapsed="false">
      <c r="A174" s="83" t="n">
        <f aca="false">'F-Class'!A74</f>
        <v>0</v>
      </c>
      <c r="B174" s="1" t="n">
        <f aca="false">'F-Class'!C74</f>
        <v>0</v>
      </c>
      <c r="C174" s="1" t="n">
        <f aca="false">'F-Class'!D74</f>
        <v>0</v>
      </c>
      <c r="D174" s="1" t="str">
        <f aca="false">'F-Class'!E74</f>
        <v/>
      </c>
      <c r="E174" s="1" t="str">
        <f aca="false">'F-Class'!F74</f>
        <v/>
      </c>
      <c r="F174" s="1" t="n">
        <f aca="false">IF('F-Class'!S74="",0,'F-Class'!S74)</f>
        <v>0</v>
      </c>
      <c r="G174" s="1" t="n">
        <f aca="false">IF('F-Class'!T74="",0,'F-Class'!T74)</f>
        <v>0</v>
      </c>
      <c r="H174" s="1" t="n">
        <f aca="false">IFERROR(YEAR('F-Class'!A74),"")</f>
        <v>1899</v>
      </c>
      <c r="I174" s="1" t="n">
        <f aca="false">IF(AND('F-Class'!D74&lt;&gt;"",'F-Class'!S74&lt;&gt;""),1,0)</f>
        <v>0</v>
      </c>
    </row>
    <row r="175" customFormat="false" ht="15" hidden="false" customHeight="true" outlineLevel="0" collapsed="false">
      <c r="A175" s="83" t="n">
        <f aca="false">'F-Class'!A75</f>
        <v>0</v>
      </c>
      <c r="B175" s="1" t="n">
        <f aca="false">'F-Class'!C75</f>
        <v>0</v>
      </c>
      <c r="C175" s="1" t="n">
        <f aca="false">'F-Class'!D75</f>
        <v>0</v>
      </c>
      <c r="D175" s="1" t="str">
        <f aca="false">'F-Class'!E75</f>
        <v/>
      </c>
      <c r="E175" s="1" t="str">
        <f aca="false">'F-Class'!F75</f>
        <v/>
      </c>
      <c r="F175" s="1" t="n">
        <f aca="false">IF('F-Class'!S75="",0,'F-Class'!S75)</f>
        <v>0</v>
      </c>
      <c r="G175" s="1" t="n">
        <f aca="false">IF('F-Class'!T75="",0,'F-Class'!T75)</f>
        <v>0</v>
      </c>
      <c r="H175" s="1" t="n">
        <f aca="false">IFERROR(YEAR('F-Class'!A75),"")</f>
        <v>1899</v>
      </c>
      <c r="I175" s="1" t="n">
        <f aca="false">IF(AND('F-Class'!D75&lt;&gt;"",'F-Class'!S75&lt;&gt;""),1,0)</f>
        <v>0</v>
      </c>
    </row>
    <row r="176" customFormat="false" ht="15" hidden="false" customHeight="true" outlineLevel="0" collapsed="false">
      <c r="A176" s="83" t="n">
        <f aca="false">'F-Class'!A76</f>
        <v>0</v>
      </c>
      <c r="B176" s="1" t="n">
        <f aca="false">'F-Class'!C76</f>
        <v>0</v>
      </c>
      <c r="C176" s="1" t="n">
        <f aca="false">'F-Class'!D76</f>
        <v>0</v>
      </c>
      <c r="D176" s="1" t="str">
        <f aca="false">'F-Class'!E76</f>
        <v/>
      </c>
      <c r="E176" s="1" t="str">
        <f aca="false">'F-Class'!F76</f>
        <v/>
      </c>
      <c r="F176" s="1" t="n">
        <f aca="false">IF('F-Class'!S76="",0,'F-Class'!S76)</f>
        <v>0</v>
      </c>
      <c r="G176" s="1" t="n">
        <f aca="false">IF('F-Class'!T76="",0,'F-Class'!T76)</f>
        <v>0</v>
      </c>
      <c r="H176" s="1" t="n">
        <f aca="false">IFERROR(YEAR('F-Class'!A76),"")</f>
        <v>1899</v>
      </c>
      <c r="I176" s="1" t="n">
        <f aca="false">IF(AND('F-Class'!D76&lt;&gt;"",'F-Class'!S76&lt;&gt;""),1,0)</f>
        <v>0</v>
      </c>
    </row>
    <row r="177" customFormat="false" ht="15" hidden="false" customHeight="true" outlineLevel="0" collapsed="false">
      <c r="A177" s="83" t="n">
        <f aca="false">'F-Class'!A77</f>
        <v>0</v>
      </c>
      <c r="B177" s="1" t="n">
        <f aca="false">'F-Class'!C77</f>
        <v>0</v>
      </c>
      <c r="C177" s="1" t="n">
        <f aca="false">'F-Class'!D77</f>
        <v>0</v>
      </c>
      <c r="D177" s="1" t="str">
        <f aca="false">'F-Class'!E77</f>
        <v/>
      </c>
      <c r="E177" s="1" t="str">
        <f aca="false">'F-Class'!F77</f>
        <v/>
      </c>
      <c r="F177" s="1" t="n">
        <f aca="false">IF('F-Class'!S77="",0,'F-Class'!S77)</f>
        <v>0</v>
      </c>
      <c r="G177" s="1" t="n">
        <f aca="false">IF('F-Class'!T77="",0,'F-Class'!T77)</f>
        <v>0</v>
      </c>
      <c r="H177" s="1" t="n">
        <f aca="false">IFERROR(YEAR('F-Class'!A77),"")</f>
        <v>1899</v>
      </c>
      <c r="I177" s="1" t="n">
        <f aca="false">IF(AND('F-Class'!D77&lt;&gt;"",'F-Class'!S77&lt;&gt;""),1,0)</f>
        <v>0</v>
      </c>
    </row>
    <row r="178" customFormat="false" ht="15" hidden="false" customHeight="true" outlineLevel="0" collapsed="false">
      <c r="A178" s="83" t="n">
        <f aca="false">'F-Class'!A78</f>
        <v>0</v>
      </c>
      <c r="B178" s="1" t="n">
        <f aca="false">'F-Class'!C78</f>
        <v>0</v>
      </c>
      <c r="C178" s="1" t="n">
        <f aca="false">'F-Class'!D78</f>
        <v>0</v>
      </c>
      <c r="D178" s="1" t="str">
        <f aca="false">'F-Class'!E78</f>
        <v/>
      </c>
      <c r="E178" s="1" t="str">
        <f aca="false">'F-Class'!F78</f>
        <v/>
      </c>
      <c r="F178" s="1" t="n">
        <f aca="false">IF('F-Class'!S78="",0,'F-Class'!S78)</f>
        <v>0</v>
      </c>
      <c r="G178" s="1" t="n">
        <f aca="false">IF('F-Class'!T78="",0,'F-Class'!T78)</f>
        <v>0</v>
      </c>
      <c r="H178" s="1" t="n">
        <f aca="false">IFERROR(YEAR('F-Class'!A78),"")</f>
        <v>1899</v>
      </c>
      <c r="I178" s="1" t="n">
        <f aca="false">IF(AND('F-Class'!D78&lt;&gt;"",'F-Class'!S78&lt;&gt;""),1,0)</f>
        <v>0</v>
      </c>
    </row>
    <row r="179" customFormat="false" ht="15" hidden="false" customHeight="true" outlineLevel="0" collapsed="false">
      <c r="A179" s="83" t="n">
        <f aca="false">'F-Class'!A79</f>
        <v>0</v>
      </c>
      <c r="B179" s="1" t="n">
        <f aca="false">'F-Class'!C79</f>
        <v>0</v>
      </c>
      <c r="C179" s="1" t="n">
        <f aca="false">'F-Class'!D79</f>
        <v>0</v>
      </c>
      <c r="D179" s="1" t="str">
        <f aca="false">'F-Class'!E79</f>
        <v/>
      </c>
      <c r="E179" s="1" t="str">
        <f aca="false">'F-Class'!F79</f>
        <v/>
      </c>
      <c r="F179" s="1" t="n">
        <f aca="false">IF('F-Class'!S79="",0,'F-Class'!S79)</f>
        <v>0</v>
      </c>
      <c r="G179" s="1" t="n">
        <f aca="false">IF('F-Class'!T79="",0,'F-Class'!T79)</f>
        <v>0</v>
      </c>
      <c r="H179" s="1" t="n">
        <f aca="false">IFERROR(YEAR('F-Class'!A79),"")</f>
        <v>1899</v>
      </c>
      <c r="I179" s="1" t="n">
        <f aca="false">IF(AND('F-Class'!D79&lt;&gt;"",'F-Class'!S79&lt;&gt;""),1,0)</f>
        <v>0</v>
      </c>
    </row>
    <row r="180" customFormat="false" ht="15" hidden="false" customHeight="true" outlineLevel="0" collapsed="false">
      <c r="A180" s="83" t="n">
        <f aca="false">'F-Class'!A80</f>
        <v>0</v>
      </c>
      <c r="B180" s="1" t="n">
        <f aca="false">'F-Class'!C80</f>
        <v>0</v>
      </c>
      <c r="C180" s="1" t="n">
        <f aca="false">'F-Class'!D80</f>
        <v>0</v>
      </c>
      <c r="D180" s="1" t="str">
        <f aca="false">'F-Class'!E80</f>
        <v/>
      </c>
      <c r="E180" s="1" t="str">
        <f aca="false">'F-Class'!F80</f>
        <v/>
      </c>
      <c r="F180" s="1" t="n">
        <f aca="false">IF('F-Class'!S80="",0,'F-Class'!S80)</f>
        <v>0</v>
      </c>
      <c r="G180" s="1" t="n">
        <f aca="false">IF('F-Class'!T80="",0,'F-Class'!T80)</f>
        <v>0</v>
      </c>
      <c r="H180" s="1" t="n">
        <f aca="false">IFERROR(YEAR('F-Class'!A80),"")</f>
        <v>1899</v>
      </c>
      <c r="I180" s="1" t="n">
        <f aca="false">IF(AND('F-Class'!D80&lt;&gt;"",'F-Class'!S80&lt;&gt;""),1,0)</f>
        <v>0</v>
      </c>
    </row>
    <row r="181" customFormat="false" ht="15" hidden="false" customHeight="true" outlineLevel="0" collapsed="false">
      <c r="A181" s="83" t="n">
        <f aca="false">'F-Class'!A81</f>
        <v>0</v>
      </c>
      <c r="B181" s="1" t="n">
        <f aca="false">'F-Class'!C81</f>
        <v>0</v>
      </c>
      <c r="C181" s="1" t="n">
        <f aca="false">'F-Class'!D81</f>
        <v>0</v>
      </c>
      <c r="D181" s="1" t="str">
        <f aca="false">'F-Class'!E81</f>
        <v/>
      </c>
      <c r="E181" s="1" t="str">
        <f aca="false">'F-Class'!F81</f>
        <v/>
      </c>
      <c r="F181" s="1" t="n">
        <f aca="false">IF('F-Class'!S81="",0,'F-Class'!S81)</f>
        <v>0</v>
      </c>
      <c r="G181" s="1" t="n">
        <f aca="false">IF('F-Class'!T81="",0,'F-Class'!T81)</f>
        <v>0</v>
      </c>
      <c r="H181" s="1" t="n">
        <f aca="false">IFERROR(YEAR('F-Class'!A81),"")</f>
        <v>1899</v>
      </c>
      <c r="I181" s="1" t="n">
        <f aca="false">IF(AND('F-Class'!D81&lt;&gt;"",'F-Class'!S81&lt;&gt;""),1,0)</f>
        <v>0</v>
      </c>
    </row>
    <row r="182" customFormat="false" ht="15" hidden="false" customHeight="true" outlineLevel="0" collapsed="false">
      <c r="A182" s="83" t="n">
        <f aca="false">'F-Class'!A82</f>
        <v>0</v>
      </c>
      <c r="B182" s="1" t="n">
        <f aca="false">'F-Class'!C82</f>
        <v>0</v>
      </c>
      <c r="C182" s="1" t="n">
        <f aca="false">'F-Class'!D82</f>
        <v>0</v>
      </c>
      <c r="D182" s="1" t="str">
        <f aca="false">'F-Class'!E82</f>
        <v/>
      </c>
      <c r="E182" s="1" t="str">
        <f aca="false">'F-Class'!F82</f>
        <v/>
      </c>
      <c r="F182" s="1" t="n">
        <f aca="false">IF('F-Class'!S82="",0,'F-Class'!S82)</f>
        <v>0</v>
      </c>
      <c r="G182" s="1" t="n">
        <f aca="false">IF('F-Class'!T82="",0,'F-Class'!T82)</f>
        <v>0</v>
      </c>
      <c r="H182" s="1" t="n">
        <f aca="false">IFERROR(YEAR('F-Class'!A82),"")</f>
        <v>1899</v>
      </c>
      <c r="I182" s="1" t="n">
        <f aca="false">IF(AND('F-Class'!D82&lt;&gt;"",'F-Class'!S82&lt;&gt;""),1,0)</f>
        <v>0</v>
      </c>
    </row>
    <row r="183" customFormat="false" ht="15" hidden="false" customHeight="true" outlineLevel="0" collapsed="false">
      <c r="A183" s="83" t="n">
        <f aca="false">'F-Class'!A83</f>
        <v>0</v>
      </c>
      <c r="B183" s="1" t="n">
        <f aca="false">'F-Class'!C83</f>
        <v>0</v>
      </c>
      <c r="C183" s="1" t="n">
        <f aca="false">'F-Class'!D83</f>
        <v>0</v>
      </c>
      <c r="D183" s="1" t="str">
        <f aca="false">'F-Class'!E83</f>
        <v/>
      </c>
      <c r="E183" s="1" t="str">
        <f aca="false">'F-Class'!F83</f>
        <v/>
      </c>
      <c r="F183" s="1" t="n">
        <f aca="false">IF('F-Class'!S83="",0,'F-Class'!S83)</f>
        <v>0</v>
      </c>
      <c r="G183" s="1" t="n">
        <f aca="false">IF('F-Class'!T83="",0,'F-Class'!T83)</f>
        <v>0</v>
      </c>
      <c r="H183" s="1" t="n">
        <f aca="false">IFERROR(YEAR('F-Class'!A83),"")</f>
        <v>1899</v>
      </c>
      <c r="I183" s="1" t="n">
        <f aca="false">IF(AND('F-Class'!D83&lt;&gt;"",'F-Class'!S83&lt;&gt;""),1,0)</f>
        <v>0</v>
      </c>
    </row>
    <row r="184" customFormat="false" ht="15" hidden="false" customHeight="true" outlineLevel="0" collapsed="false">
      <c r="A184" s="83" t="n">
        <f aca="false">'F-Class'!A84</f>
        <v>0</v>
      </c>
      <c r="B184" s="1" t="n">
        <f aca="false">'F-Class'!C84</f>
        <v>0</v>
      </c>
      <c r="C184" s="1" t="n">
        <f aca="false">'F-Class'!D84</f>
        <v>0</v>
      </c>
      <c r="D184" s="1" t="str">
        <f aca="false">'F-Class'!E84</f>
        <v/>
      </c>
      <c r="E184" s="1" t="str">
        <f aca="false">'F-Class'!F84</f>
        <v/>
      </c>
      <c r="F184" s="1" t="n">
        <f aca="false">IF('F-Class'!S84="",0,'F-Class'!S84)</f>
        <v>0</v>
      </c>
      <c r="G184" s="1" t="n">
        <f aca="false">IF('F-Class'!T84="",0,'F-Class'!T84)</f>
        <v>0</v>
      </c>
      <c r="H184" s="1" t="n">
        <f aca="false">IFERROR(YEAR('F-Class'!A84),"")</f>
        <v>1899</v>
      </c>
      <c r="I184" s="1" t="n">
        <f aca="false">IF(AND('F-Class'!D84&lt;&gt;"",'F-Class'!S84&lt;&gt;""),1,0)</f>
        <v>0</v>
      </c>
    </row>
    <row r="185" customFormat="false" ht="15" hidden="false" customHeight="true" outlineLevel="0" collapsed="false">
      <c r="A185" s="83" t="n">
        <f aca="false">'F-Class'!A85</f>
        <v>0</v>
      </c>
      <c r="B185" s="1" t="n">
        <f aca="false">'F-Class'!C85</f>
        <v>0</v>
      </c>
      <c r="C185" s="1" t="n">
        <f aca="false">'F-Class'!D85</f>
        <v>0</v>
      </c>
      <c r="D185" s="1" t="str">
        <f aca="false">'F-Class'!E85</f>
        <v/>
      </c>
      <c r="E185" s="1" t="str">
        <f aca="false">'F-Class'!F85</f>
        <v/>
      </c>
      <c r="F185" s="1" t="n">
        <f aca="false">IF('F-Class'!S85="",0,'F-Class'!S85)</f>
        <v>0</v>
      </c>
      <c r="G185" s="1" t="n">
        <f aca="false">IF('F-Class'!T85="",0,'F-Class'!T85)</f>
        <v>0</v>
      </c>
      <c r="H185" s="1" t="n">
        <f aca="false">IFERROR(YEAR('F-Class'!A85),"")</f>
        <v>1899</v>
      </c>
      <c r="I185" s="1" t="n">
        <f aca="false">IF(AND('F-Class'!D85&lt;&gt;"",'F-Class'!S85&lt;&gt;""),1,0)</f>
        <v>0</v>
      </c>
    </row>
    <row r="186" customFormat="false" ht="15" hidden="false" customHeight="true" outlineLevel="0" collapsed="false">
      <c r="A186" s="83" t="n">
        <f aca="false">'F-Class'!A86</f>
        <v>0</v>
      </c>
      <c r="B186" s="1" t="n">
        <f aca="false">'F-Class'!C86</f>
        <v>0</v>
      </c>
      <c r="C186" s="1" t="n">
        <f aca="false">'F-Class'!D86</f>
        <v>0</v>
      </c>
      <c r="D186" s="1" t="str">
        <f aca="false">'F-Class'!E86</f>
        <v/>
      </c>
      <c r="E186" s="1" t="str">
        <f aca="false">'F-Class'!F86</f>
        <v/>
      </c>
      <c r="F186" s="1" t="n">
        <f aca="false">IF('F-Class'!S86="",0,'F-Class'!S86)</f>
        <v>0</v>
      </c>
      <c r="G186" s="1" t="n">
        <f aca="false">IF('F-Class'!T86="",0,'F-Class'!T86)</f>
        <v>0</v>
      </c>
      <c r="H186" s="1" t="n">
        <f aca="false">IFERROR(YEAR('F-Class'!A86),"")</f>
        <v>1899</v>
      </c>
      <c r="I186" s="1" t="n">
        <f aca="false">IF(AND('F-Class'!D86&lt;&gt;"",'F-Class'!S86&lt;&gt;""),1,0)</f>
        <v>0</v>
      </c>
    </row>
    <row r="187" customFormat="false" ht="15" hidden="false" customHeight="true" outlineLevel="0" collapsed="false">
      <c r="A187" s="83" t="n">
        <f aca="false">'F-Class'!A87</f>
        <v>0</v>
      </c>
      <c r="B187" s="1" t="n">
        <f aca="false">'F-Class'!C87</f>
        <v>0</v>
      </c>
      <c r="C187" s="1" t="n">
        <f aca="false">'F-Class'!D87</f>
        <v>0</v>
      </c>
      <c r="D187" s="1" t="str">
        <f aca="false">'F-Class'!E87</f>
        <v/>
      </c>
      <c r="E187" s="1" t="str">
        <f aca="false">'F-Class'!F87</f>
        <v/>
      </c>
      <c r="F187" s="1" t="n">
        <f aca="false">IF('F-Class'!S87="",0,'F-Class'!S87)</f>
        <v>0</v>
      </c>
      <c r="G187" s="1" t="n">
        <f aca="false">IF('F-Class'!T87="",0,'F-Class'!T87)</f>
        <v>0</v>
      </c>
      <c r="H187" s="1" t="n">
        <f aca="false">IFERROR(YEAR('F-Class'!A87),"")</f>
        <v>1899</v>
      </c>
      <c r="I187" s="1" t="n">
        <f aca="false">IF(AND('F-Class'!D87&lt;&gt;"",'F-Class'!S87&lt;&gt;""),1,0)</f>
        <v>0</v>
      </c>
    </row>
    <row r="188" customFormat="false" ht="15" hidden="false" customHeight="true" outlineLevel="0" collapsed="false">
      <c r="A188" s="83" t="n">
        <f aca="false">'F-Class'!A88</f>
        <v>0</v>
      </c>
      <c r="B188" s="1" t="n">
        <f aca="false">'F-Class'!C88</f>
        <v>0</v>
      </c>
      <c r="C188" s="1" t="n">
        <f aca="false">'F-Class'!D88</f>
        <v>0</v>
      </c>
      <c r="D188" s="1" t="str">
        <f aca="false">'F-Class'!E88</f>
        <v/>
      </c>
      <c r="E188" s="1" t="str">
        <f aca="false">'F-Class'!F88</f>
        <v/>
      </c>
      <c r="F188" s="1" t="n">
        <f aca="false">IF('F-Class'!S88="",0,'F-Class'!S88)</f>
        <v>0</v>
      </c>
      <c r="G188" s="1" t="n">
        <f aca="false">IF('F-Class'!T88="",0,'F-Class'!T88)</f>
        <v>0</v>
      </c>
      <c r="H188" s="1" t="n">
        <f aca="false">IFERROR(YEAR('F-Class'!A88),"")</f>
        <v>1899</v>
      </c>
      <c r="I188" s="1" t="n">
        <f aca="false">IF(AND('F-Class'!D88&lt;&gt;"",'F-Class'!S88&lt;&gt;""),1,0)</f>
        <v>0</v>
      </c>
    </row>
    <row r="189" customFormat="false" ht="15" hidden="false" customHeight="true" outlineLevel="0" collapsed="false">
      <c r="A189" s="83" t="n">
        <f aca="false">'F-Class'!A89</f>
        <v>0</v>
      </c>
      <c r="B189" s="1" t="n">
        <f aca="false">'F-Class'!C89</f>
        <v>0</v>
      </c>
      <c r="C189" s="1" t="n">
        <f aca="false">'F-Class'!D89</f>
        <v>0</v>
      </c>
      <c r="D189" s="1" t="str">
        <f aca="false">'F-Class'!E89</f>
        <v/>
      </c>
      <c r="E189" s="1" t="str">
        <f aca="false">'F-Class'!F89</f>
        <v/>
      </c>
      <c r="F189" s="1" t="n">
        <f aca="false">IF('F-Class'!S89="",0,'F-Class'!S89)</f>
        <v>0</v>
      </c>
      <c r="G189" s="1" t="n">
        <f aca="false">IF('F-Class'!T89="",0,'F-Class'!T89)</f>
        <v>0</v>
      </c>
      <c r="H189" s="1" t="n">
        <f aca="false">IFERROR(YEAR('F-Class'!A89),"")</f>
        <v>1899</v>
      </c>
      <c r="I189" s="1" t="n">
        <f aca="false">IF(AND('F-Class'!D89&lt;&gt;"",'F-Class'!S89&lt;&gt;""),1,0)</f>
        <v>0</v>
      </c>
    </row>
    <row r="190" customFormat="false" ht="15" hidden="false" customHeight="true" outlineLevel="0" collapsed="false">
      <c r="A190" s="83" t="n">
        <f aca="false">'F-Class'!A90</f>
        <v>0</v>
      </c>
      <c r="B190" s="1" t="n">
        <f aca="false">'F-Class'!C90</f>
        <v>0</v>
      </c>
      <c r="C190" s="1" t="n">
        <f aca="false">'F-Class'!D90</f>
        <v>0</v>
      </c>
      <c r="D190" s="1" t="str">
        <f aca="false">'F-Class'!E90</f>
        <v/>
      </c>
      <c r="E190" s="1" t="str">
        <f aca="false">'F-Class'!F90</f>
        <v/>
      </c>
      <c r="F190" s="1" t="n">
        <f aca="false">IF('F-Class'!S90="",0,'F-Class'!S90)</f>
        <v>0</v>
      </c>
      <c r="G190" s="1" t="n">
        <f aca="false">IF('F-Class'!T90="",0,'F-Class'!T90)</f>
        <v>0</v>
      </c>
      <c r="H190" s="1" t="n">
        <f aca="false">IFERROR(YEAR('F-Class'!A90),"")</f>
        <v>1899</v>
      </c>
      <c r="I190" s="1" t="n">
        <f aca="false">IF(AND('F-Class'!D90&lt;&gt;"",'F-Class'!S90&lt;&gt;""),1,0)</f>
        <v>0</v>
      </c>
    </row>
    <row r="191" customFormat="false" ht="15" hidden="false" customHeight="true" outlineLevel="0" collapsed="false">
      <c r="A191" s="83" t="n">
        <f aca="false">'F-Class'!A91</f>
        <v>0</v>
      </c>
      <c r="B191" s="1" t="n">
        <f aca="false">'F-Class'!C91</f>
        <v>0</v>
      </c>
      <c r="C191" s="1" t="n">
        <f aca="false">'F-Class'!D91</f>
        <v>0</v>
      </c>
      <c r="D191" s="1" t="str">
        <f aca="false">'F-Class'!E91</f>
        <v/>
      </c>
      <c r="E191" s="1" t="str">
        <f aca="false">'F-Class'!F91</f>
        <v/>
      </c>
      <c r="F191" s="1" t="n">
        <f aca="false">IF('F-Class'!S91="",0,'F-Class'!S91)</f>
        <v>0</v>
      </c>
      <c r="G191" s="1" t="n">
        <f aca="false">IF('F-Class'!T91="",0,'F-Class'!T91)</f>
        <v>0</v>
      </c>
      <c r="H191" s="1" t="n">
        <f aca="false">IFERROR(YEAR('F-Class'!A91),"")</f>
        <v>1899</v>
      </c>
      <c r="I191" s="1" t="n">
        <f aca="false">IF(AND('F-Class'!D91&lt;&gt;"",'F-Class'!S91&lt;&gt;""),1,0)</f>
        <v>0</v>
      </c>
    </row>
    <row r="192" customFormat="false" ht="15" hidden="false" customHeight="true" outlineLevel="0" collapsed="false">
      <c r="A192" s="83" t="n">
        <f aca="false">'F-Class'!A92</f>
        <v>0</v>
      </c>
      <c r="B192" s="1" t="n">
        <f aca="false">'F-Class'!C92</f>
        <v>0</v>
      </c>
      <c r="C192" s="1" t="n">
        <f aca="false">'F-Class'!D92</f>
        <v>0</v>
      </c>
      <c r="D192" s="1" t="str">
        <f aca="false">'F-Class'!E92</f>
        <v/>
      </c>
      <c r="E192" s="1" t="str">
        <f aca="false">'F-Class'!F92</f>
        <v/>
      </c>
      <c r="F192" s="1" t="n">
        <f aca="false">IF('F-Class'!S92="",0,'F-Class'!S92)</f>
        <v>0</v>
      </c>
      <c r="G192" s="1" t="n">
        <f aca="false">IF('F-Class'!T92="",0,'F-Class'!T92)</f>
        <v>0</v>
      </c>
      <c r="H192" s="1" t="n">
        <f aca="false">IFERROR(YEAR('F-Class'!A92),"")</f>
        <v>1899</v>
      </c>
      <c r="I192" s="1" t="n">
        <f aca="false">IF(AND('F-Class'!D92&lt;&gt;"",'F-Class'!S92&lt;&gt;""),1,0)</f>
        <v>0</v>
      </c>
    </row>
    <row r="193" customFormat="false" ht="15" hidden="false" customHeight="true" outlineLevel="0" collapsed="false">
      <c r="A193" s="83" t="n">
        <f aca="false">'F-Class'!A93</f>
        <v>0</v>
      </c>
      <c r="B193" s="1" t="n">
        <f aca="false">'F-Class'!C93</f>
        <v>0</v>
      </c>
      <c r="C193" s="1" t="n">
        <f aca="false">'F-Class'!D93</f>
        <v>0</v>
      </c>
      <c r="D193" s="1" t="str">
        <f aca="false">'F-Class'!E93</f>
        <v/>
      </c>
      <c r="E193" s="1" t="str">
        <f aca="false">'F-Class'!F93</f>
        <v/>
      </c>
      <c r="F193" s="1" t="n">
        <f aca="false">IF('F-Class'!S93="",0,'F-Class'!S93)</f>
        <v>0</v>
      </c>
      <c r="G193" s="1" t="n">
        <f aca="false">IF('F-Class'!T93="",0,'F-Class'!T93)</f>
        <v>0</v>
      </c>
      <c r="H193" s="1" t="n">
        <f aca="false">IFERROR(YEAR('F-Class'!A93),"")</f>
        <v>1899</v>
      </c>
      <c r="I193" s="1" t="n">
        <f aca="false">IF(AND('F-Class'!D93&lt;&gt;"",'F-Class'!S93&lt;&gt;""),1,0)</f>
        <v>0</v>
      </c>
    </row>
    <row r="194" customFormat="false" ht="15" hidden="false" customHeight="true" outlineLevel="0" collapsed="false">
      <c r="A194" s="83" t="n">
        <f aca="false">'F-Class'!A94</f>
        <v>0</v>
      </c>
      <c r="B194" s="1" t="n">
        <f aca="false">'F-Class'!C94</f>
        <v>0</v>
      </c>
      <c r="C194" s="1" t="n">
        <f aca="false">'F-Class'!D94</f>
        <v>0</v>
      </c>
      <c r="D194" s="1" t="str">
        <f aca="false">'F-Class'!E94</f>
        <v/>
      </c>
      <c r="E194" s="1" t="str">
        <f aca="false">'F-Class'!F94</f>
        <v/>
      </c>
      <c r="F194" s="1" t="n">
        <f aca="false">IF('F-Class'!S94="",0,'F-Class'!S94)</f>
        <v>0</v>
      </c>
      <c r="G194" s="1" t="n">
        <f aca="false">IF('F-Class'!T94="",0,'F-Class'!T94)</f>
        <v>0</v>
      </c>
      <c r="H194" s="1" t="n">
        <f aca="false">IFERROR(YEAR('F-Class'!A94),"")</f>
        <v>1899</v>
      </c>
      <c r="I194" s="1" t="n">
        <f aca="false">IF(AND('F-Class'!D94&lt;&gt;"",'F-Class'!S94&lt;&gt;""),1,0)</f>
        <v>0</v>
      </c>
    </row>
    <row r="195" customFormat="false" ht="15" hidden="false" customHeight="true" outlineLevel="0" collapsed="false">
      <c r="A195" s="83" t="n">
        <f aca="false">'F-Class'!A95</f>
        <v>0</v>
      </c>
      <c r="B195" s="1" t="n">
        <f aca="false">'F-Class'!C95</f>
        <v>0</v>
      </c>
      <c r="C195" s="1" t="n">
        <f aca="false">'F-Class'!D95</f>
        <v>0</v>
      </c>
      <c r="D195" s="1" t="str">
        <f aca="false">'F-Class'!E95</f>
        <v/>
      </c>
      <c r="E195" s="1" t="str">
        <f aca="false">'F-Class'!F95</f>
        <v/>
      </c>
      <c r="F195" s="1" t="n">
        <f aca="false">IF('F-Class'!S95="",0,'F-Class'!S95)</f>
        <v>0</v>
      </c>
      <c r="G195" s="1" t="n">
        <f aca="false">IF('F-Class'!T95="",0,'F-Class'!T95)</f>
        <v>0</v>
      </c>
      <c r="H195" s="1" t="n">
        <f aca="false">IFERROR(YEAR('F-Class'!A95),"")</f>
        <v>1899</v>
      </c>
      <c r="I195" s="1" t="n">
        <f aca="false">IF(AND('F-Class'!D95&lt;&gt;"",'F-Class'!S95&lt;&gt;""),1,0)</f>
        <v>0</v>
      </c>
    </row>
    <row r="196" customFormat="false" ht="15" hidden="false" customHeight="true" outlineLevel="0" collapsed="false">
      <c r="A196" s="83" t="n">
        <f aca="false">'F-Class'!A96</f>
        <v>0</v>
      </c>
      <c r="B196" s="1" t="n">
        <f aca="false">'F-Class'!C96</f>
        <v>0</v>
      </c>
      <c r="C196" s="1" t="n">
        <f aca="false">'F-Class'!D96</f>
        <v>0</v>
      </c>
      <c r="D196" s="1" t="str">
        <f aca="false">'F-Class'!E96</f>
        <v/>
      </c>
      <c r="E196" s="1" t="str">
        <f aca="false">'F-Class'!F96</f>
        <v/>
      </c>
      <c r="F196" s="1" t="n">
        <f aca="false">IF('F-Class'!S96="",0,'F-Class'!S96)</f>
        <v>0</v>
      </c>
      <c r="G196" s="1" t="n">
        <f aca="false">IF('F-Class'!T96="",0,'F-Class'!T96)</f>
        <v>0</v>
      </c>
      <c r="H196" s="1" t="n">
        <f aca="false">IFERROR(YEAR('F-Class'!A96),"")</f>
        <v>1899</v>
      </c>
      <c r="I196" s="1" t="n">
        <f aca="false">IF(AND('F-Class'!D96&lt;&gt;"",'F-Class'!S96&lt;&gt;""),1,0)</f>
        <v>0</v>
      </c>
    </row>
    <row r="197" customFormat="false" ht="15" hidden="false" customHeight="true" outlineLevel="0" collapsed="false">
      <c r="A197" s="83" t="n">
        <f aca="false">'F-Class'!A97</f>
        <v>0</v>
      </c>
      <c r="B197" s="1" t="n">
        <f aca="false">'F-Class'!C97</f>
        <v>0</v>
      </c>
      <c r="C197" s="1" t="n">
        <f aca="false">'F-Class'!D97</f>
        <v>0</v>
      </c>
      <c r="D197" s="1" t="str">
        <f aca="false">'F-Class'!E97</f>
        <v/>
      </c>
      <c r="E197" s="1" t="str">
        <f aca="false">'F-Class'!F97</f>
        <v/>
      </c>
      <c r="F197" s="1" t="n">
        <f aca="false">IF('F-Class'!S97="",0,'F-Class'!S97)</f>
        <v>0</v>
      </c>
      <c r="G197" s="1" t="n">
        <f aca="false">IF('F-Class'!T97="",0,'F-Class'!T97)</f>
        <v>0</v>
      </c>
      <c r="H197" s="1" t="n">
        <f aca="false">IFERROR(YEAR('F-Class'!A97),"")</f>
        <v>1899</v>
      </c>
      <c r="I197" s="1" t="n">
        <f aca="false">IF(AND('F-Class'!D97&lt;&gt;"",'F-Class'!S97&lt;&gt;""),1,0)</f>
        <v>0</v>
      </c>
    </row>
    <row r="198" customFormat="false" ht="15" hidden="false" customHeight="true" outlineLevel="0" collapsed="false">
      <c r="A198" s="83" t="n">
        <f aca="false">'F-Class'!A98</f>
        <v>0</v>
      </c>
      <c r="B198" s="1" t="n">
        <f aca="false">'F-Class'!C98</f>
        <v>0</v>
      </c>
      <c r="C198" s="1" t="n">
        <f aca="false">'F-Class'!D98</f>
        <v>0</v>
      </c>
      <c r="D198" s="1" t="str">
        <f aca="false">'F-Class'!E98</f>
        <v/>
      </c>
      <c r="E198" s="1" t="str">
        <f aca="false">'F-Class'!F98</f>
        <v/>
      </c>
      <c r="F198" s="1" t="n">
        <f aca="false">IF('F-Class'!S98="",0,'F-Class'!S98)</f>
        <v>0</v>
      </c>
      <c r="G198" s="1" t="n">
        <f aca="false">IF('F-Class'!T98="",0,'F-Class'!T98)</f>
        <v>0</v>
      </c>
      <c r="H198" s="1" t="n">
        <f aca="false">IFERROR(YEAR('F-Class'!A98),"")</f>
        <v>1899</v>
      </c>
      <c r="I198" s="1" t="n">
        <f aca="false">IF(AND('F-Class'!D98&lt;&gt;"",'F-Class'!S98&lt;&gt;""),1,0)</f>
        <v>0</v>
      </c>
    </row>
    <row r="199" customFormat="false" ht="15" hidden="false" customHeight="true" outlineLevel="0" collapsed="false">
      <c r="A199" s="83" t="n">
        <f aca="false">'F-Class'!A99</f>
        <v>0</v>
      </c>
      <c r="B199" s="1" t="n">
        <f aca="false">'F-Class'!C99</f>
        <v>0</v>
      </c>
      <c r="C199" s="1" t="n">
        <f aca="false">'F-Class'!D99</f>
        <v>0</v>
      </c>
      <c r="D199" s="1" t="str">
        <f aca="false">'F-Class'!E99</f>
        <v/>
      </c>
      <c r="E199" s="1" t="str">
        <f aca="false">'F-Class'!F99</f>
        <v/>
      </c>
      <c r="F199" s="1" t="n">
        <f aca="false">IF('F-Class'!S99="",0,'F-Class'!S99)</f>
        <v>0</v>
      </c>
      <c r="G199" s="1" t="n">
        <f aca="false">IF('F-Class'!T99="",0,'F-Class'!T99)</f>
        <v>0</v>
      </c>
      <c r="H199" s="1" t="n">
        <f aca="false">IFERROR(YEAR('F-Class'!A99),"")</f>
        <v>1899</v>
      </c>
      <c r="I199" s="1" t="n">
        <f aca="false">IF(AND('F-Class'!D99&lt;&gt;"",'F-Class'!S99&lt;&gt;""),1,0)</f>
        <v>0</v>
      </c>
    </row>
    <row r="200" customFormat="false" ht="15" hidden="false" customHeight="true" outlineLevel="0" collapsed="false">
      <c r="A200" s="83" t="n">
        <f aca="false">'F-Class'!A100</f>
        <v>0</v>
      </c>
      <c r="B200" s="1" t="n">
        <f aca="false">'F-Class'!C100</f>
        <v>0</v>
      </c>
      <c r="C200" s="1" t="n">
        <f aca="false">'F-Class'!D100</f>
        <v>0</v>
      </c>
      <c r="D200" s="1" t="str">
        <f aca="false">'F-Class'!E100</f>
        <v/>
      </c>
      <c r="E200" s="1" t="str">
        <f aca="false">'F-Class'!F100</f>
        <v/>
      </c>
      <c r="F200" s="1" t="n">
        <f aca="false">IF('F-Class'!S100="",0,'F-Class'!S100)</f>
        <v>0</v>
      </c>
      <c r="G200" s="1" t="n">
        <f aca="false">IF('F-Class'!T100="",0,'F-Class'!T100)</f>
        <v>0</v>
      </c>
      <c r="H200" s="1" t="n">
        <f aca="false">IFERROR(YEAR('F-Class'!A100),"")</f>
        <v>1899</v>
      </c>
      <c r="I200" s="1" t="n">
        <f aca="false">IF(AND('F-Class'!D100&lt;&gt;"",'F-Class'!S100&lt;&gt;""),1,0)</f>
        <v>0</v>
      </c>
    </row>
    <row r="201" customFormat="false" ht="15" hidden="false" customHeight="true" outlineLevel="0" collapsed="false">
      <c r="A201" s="83" t="n">
        <f aca="false">'F-Class'!A101</f>
        <v>0</v>
      </c>
      <c r="B201" s="1" t="n">
        <f aca="false">'F-Class'!C101</f>
        <v>0</v>
      </c>
      <c r="C201" s="1" t="n">
        <f aca="false">'F-Class'!D101</f>
        <v>0</v>
      </c>
      <c r="D201" s="1" t="str">
        <f aca="false">'F-Class'!E101</f>
        <v/>
      </c>
      <c r="E201" s="1" t="str">
        <f aca="false">'F-Class'!F101</f>
        <v/>
      </c>
      <c r="F201" s="1" t="n">
        <f aca="false">IF('F-Class'!S101="",0,'F-Class'!S101)</f>
        <v>0</v>
      </c>
      <c r="G201" s="1" t="n">
        <f aca="false">IF('F-Class'!T101="",0,'F-Class'!T101)</f>
        <v>0</v>
      </c>
      <c r="H201" s="1" t="n">
        <f aca="false">IFERROR(YEAR('F-Class'!A101),"")</f>
        <v>1899</v>
      </c>
      <c r="I201" s="1" t="n">
        <f aca="false">IF(AND('F-Class'!D101&lt;&gt;"",'F-Class'!S101&lt;&gt;""),1,0)</f>
        <v>0</v>
      </c>
    </row>
    <row r="202" customFormat="false" ht="15" hidden="false" customHeight="true" outlineLevel="0" collapsed="false">
      <c r="A202" s="83" t="str">
        <f aca="false">'3-Position 50m'!A2</f>
        <v>60 shots: Kneeling, Prone, Standing — each 2 series of 10. Enter the decimal total of each series (max 109.0). Total auto-sums (max 654.0). Order of fire: Kneeling, Prone, Standing.</v>
      </c>
      <c r="B202" s="1" t="n">
        <f aca="false">'3-Position 50m'!C2</f>
        <v>0</v>
      </c>
      <c r="C202" s="1" t="n">
        <f aca="false">'3-Position 50m'!D2</f>
        <v>0</v>
      </c>
      <c r="D202" s="1" t="n">
        <f aca="false">'3-Position 50m'!E2</f>
        <v>0</v>
      </c>
      <c r="E202" s="1" t="n">
        <f aca="false">'3-Position 50m'!F2</f>
        <v>0</v>
      </c>
      <c r="F202" s="85" t="n">
        <f aca="false">IF('3-Position 50m'!M2="",0,'3-Position 50m'!M2)</f>
        <v>0</v>
      </c>
      <c r="G202" s="86" t="n">
        <f aca="false">IF('3-Position 50m'!N2="",0,'3-Position 50m'!N2)</f>
        <v>0</v>
      </c>
      <c r="H202" s="1" t="str">
        <f aca="false">IFERROR(YEAR('3-Position 50m'!A2),"")</f>
        <v/>
      </c>
      <c r="I202" s="1" t="n">
        <f aca="false">IF(AND('3-Position 50m'!D2&lt;&gt;"",'3-Position 50m'!M2&lt;&gt;""),1,0)</f>
        <v>0</v>
      </c>
    </row>
    <row r="203" customFormat="false" ht="15" hidden="false" customHeight="true" outlineLevel="0" collapsed="false">
      <c r="A203" s="83" t="n">
        <f aca="false">'3-Position 50m'!A3</f>
        <v>0</v>
      </c>
      <c r="B203" s="1" t="n">
        <f aca="false">'3-Position 50m'!C3</f>
        <v>0</v>
      </c>
      <c r="C203" s="1" t="n">
        <f aca="false">'3-Position 50m'!D3</f>
        <v>0</v>
      </c>
      <c r="D203" s="1" t="n">
        <f aca="false">'3-Position 50m'!E3</f>
        <v>0</v>
      </c>
      <c r="E203" s="1" t="n">
        <f aca="false">'3-Position 50m'!F3</f>
        <v>0</v>
      </c>
      <c r="F203" s="1" t="n">
        <f aca="false">IF('3-Position 50m'!M3="",0,'3-Position 50m'!M3)</f>
        <v>0</v>
      </c>
      <c r="G203" s="1" t="n">
        <f aca="false">IF('3-Position 50m'!N3="",0,'3-Position 50m'!N3)</f>
        <v>0</v>
      </c>
      <c r="H203" s="1" t="n">
        <f aca="false">IFERROR(YEAR('3-Position 50m'!A3),"")</f>
        <v>1899</v>
      </c>
      <c r="I203" s="1" t="n">
        <f aca="false">IF(AND('3-Position 50m'!D3&lt;&gt;"",'3-Position 50m'!M3&lt;&gt;""),1,0)</f>
        <v>0</v>
      </c>
    </row>
    <row r="204" customFormat="false" ht="15" hidden="false" customHeight="true" outlineLevel="0" collapsed="false">
      <c r="A204" s="83" t="str">
        <f aca="false">'3-Position 50m'!A4</f>
        <v>Date (YYYY-MM-DD)</v>
      </c>
      <c r="B204" s="1" t="str">
        <f aca="false">'3-Position 50m'!C4</f>
        <v>Discipline</v>
      </c>
      <c r="C204" s="1" t="str">
        <f aca="false">'3-Position 50m'!D4</f>
        <v>Shooter Name</v>
      </c>
      <c r="D204" s="1" t="str">
        <f aca="false">'3-Position 50m'!E4</f>
        <v>Club</v>
      </c>
      <c r="E204" s="1" t="str">
        <f aca="false">'3-Position 50m'!F4</f>
        <v>Category</v>
      </c>
      <c r="F204" s="1" t="str">
        <f aca="false">IF('3-Position 50m'!M4="",0,'3-Position 50m'!M4)</f>
        <v>Total Dec</v>
      </c>
      <c r="G204" s="1" t="str">
        <f aca="false">IF('3-Position 50m'!N4="",0,'3-Position 50m'!N4)</f>
        <v>Status</v>
      </c>
      <c r="H204" s="1" t="str">
        <f aca="false">IFERROR(YEAR('3-Position 50m'!A4),"")</f>
        <v/>
      </c>
      <c r="I204" s="1" t="n">
        <f aca="false">IF(AND('3-Position 50m'!D4&lt;&gt;"",'3-Position 50m'!M4&lt;&gt;""),1,0)</f>
        <v>1</v>
      </c>
    </row>
    <row r="205" customFormat="false" ht="15" hidden="false" customHeight="true" outlineLevel="0" collapsed="false">
      <c r="A205" s="83" t="str">
        <f aca="false">'3-Position 50m'!A5</f>
        <v>2026-05-23</v>
      </c>
      <c r="B205" s="1" t="str">
        <f aca="false">'3-Position 50m'!C5</f>
        <v>three_position_50m</v>
      </c>
      <c r="C205" s="1" t="str">
        <f aca="false">'3-Position 50m'!D5</f>
        <v>Lerato Dlamini</v>
      </c>
      <c r="D205" s="1" t="str">
        <f aca="false">'3-Position 50m'!E5</f>
        <v>SATRF Club</v>
      </c>
      <c r="E205" s="1" t="str">
        <f aca="false">'3-Position 50m'!F5</f>
        <v>junior</v>
      </c>
      <c r="F205" s="1" t="n">
        <f aca="false">IF('3-Position 50m'!M5="",0,'3-Position 50m'!M5)</f>
        <v>626.9</v>
      </c>
      <c r="G205" s="1" t="str">
        <f aca="false">IF('3-Position 50m'!N5="",0,'3-Position 50m'!N5)</f>
        <v>official</v>
      </c>
      <c r="H205" s="1" t="n">
        <f aca="false">IFERROR(YEAR('3-Position 50m'!A5),"")</f>
        <v>2026</v>
      </c>
      <c r="I205" s="1" t="n">
        <f aca="false">IF(AND('3-Position 50m'!D5&lt;&gt;"",'3-Position 50m'!M5&lt;&gt;""),1,0)</f>
        <v>1</v>
      </c>
    </row>
    <row r="206" customFormat="false" ht="15" hidden="false" customHeight="true" outlineLevel="0" collapsed="false">
      <c r="A206" s="83" t="n">
        <f aca="false">'3-Position 50m'!A6</f>
        <v>0</v>
      </c>
      <c r="B206" s="1" t="n">
        <f aca="false">'3-Position 50m'!C6</f>
        <v>0</v>
      </c>
      <c r="C206" s="1" t="n">
        <f aca="false">'3-Position 50m'!D6</f>
        <v>0</v>
      </c>
      <c r="D206" s="1" t="n">
        <f aca="false">'3-Position 50m'!E6</f>
        <v>0</v>
      </c>
      <c r="E206" s="1" t="n">
        <f aca="false">'3-Position 50m'!F6</f>
        <v>0</v>
      </c>
      <c r="F206" s="1" t="n">
        <f aca="false">IF('3-Position 50m'!M6="",0,'3-Position 50m'!M6)</f>
        <v>0</v>
      </c>
      <c r="G206" s="1" t="n">
        <f aca="false">IF('3-Position 50m'!N6="",0,'3-Position 50m'!N6)</f>
        <v>0</v>
      </c>
      <c r="H206" s="1" t="n">
        <f aca="false">IFERROR(YEAR('3-Position 50m'!A6),"")</f>
        <v>1899</v>
      </c>
      <c r="I206" s="1" t="n">
        <f aca="false">IF(AND('3-Position 50m'!D6&lt;&gt;"",'3-Position 50m'!M6&lt;&gt;""),1,0)</f>
        <v>0</v>
      </c>
    </row>
    <row r="207" customFormat="false" ht="15" hidden="false" customHeight="true" outlineLevel="0" collapsed="false">
      <c r="A207" s="83" t="n">
        <f aca="false">'3-Position 50m'!A7</f>
        <v>0</v>
      </c>
      <c r="B207" s="1" t="n">
        <f aca="false">'3-Position 50m'!C7</f>
        <v>0</v>
      </c>
      <c r="C207" s="1" t="n">
        <f aca="false">'3-Position 50m'!D7</f>
        <v>0</v>
      </c>
      <c r="D207" s="1" t="n">
        <f aca="false">'3-Position 50m'!E7</f>
        <v>0</v>
      </c>
      <c r="E207" s="1" t="n">
        <f aca="false">'3-Position 50m'!F7</f>
        <v>0</v>
      </c>
      <c r="F207" s="1" t="n">
        <f aca="false">IF('3-Position 50m'!M7="",0,'3-Position 50m'!M7)</f>
        <v>0</v>
      </c>
      <c r="G207" s="1" t="n">
        <f aca="false">IF('3-Position 50m'!N7="",0,'3-Position 50m'!N7)</f>
        <v>0</v>
      </c>
      <c r="H207" s="1" t="n">
        <f aca="false">IFERROR(YEAR('3-Position 50m'!A7),"")</f>
        <v>1899</v>
      </c>
      <c r="I207" s="1" t="n">
        <f aca="false">IF(AND('3-Position 50m'!D7&lt;&gt;"",'3-Position 50m'!M7&lt;&gt;""),1,0)</f>
        <v>0</v>
      </c>
    </row>
    <row r="208" customFormat="false" ht="15" hidden="false" customHeight="true" outlineLevel="0" collapsed="false">
      <c r="A208" s="83" t="n">
        <f aca="false">'3-Position 50m'!A8</f>
        <v>0</v>
      </c>
      <c r="B208" s="1" t="n">
        <f aca="false">'3-Position 50m'!C8</f>
        <v>0</v>
      </c>
      <c r="C208" s="1" t="n">
        <f aca="false">'3-Position 50m'!D8</f>
        <v>0</v>
      </c>
      <c r="D208" s="1" t="n">
        <f aca="false">'3-Position 50m'!E8</f>
        <v>0</v>
      </c>
      <c r="E208" s="1" t="n">
        <f aca="false">'3-Position 50m'!F8</f>
        <v>0</v>
      </c>
      <c r="F208" s="1" t="n">
        <f aca="false">IF('3-Position 50m'!M8="",0,'3-Position 50m'!M8)</f>
        <v>0</v>
      </c>
      <c r="G208" s="1" t="n">
        <f aca="false">IF('3-Position 50m'!N8="",0,'3-Position 50m'!N8)</f>
        <v>0</v>
      </c>
      <c r="H208" s="1" t="n">
        <f aca="false">IFERROR(YEAR('3-Position 50m'!A8),"")</f>
        <v>1899</v>
      </c>
      <c r="I208" s="1" t="n">
        <f aca="false">IF(AND('3-Position 50m'!D8&lt;&gt;"",'3-Position 50m'!M8&lt;&gt;""),1,0)</f>
        <v>0</v>
      </c>
    </row>
    <row r="209" customFormat="false" ht="15" hidden="false" customHeight="true" outlineLevel="0" collapsed="false">
      <c r="A209" s="83" t="n">
        <f aca="false">'3-Position 50m'!A9</f>
        <v>0</v>
      </c>
      <c r="B209" s="1" t="n">
        <f aca="false">'3-Position 50m'!C9</f>
        <v>0</v>
      </c>
      <c r="C209" s="1" t="n">
        <f aca="false">'3-Position 50m'!D9</f>
        <v>0</v>
      </c>
      <c r="D209" s="1" t="n">
        <f aca="false">'3-Position 50m'!E9</f>
        <v>0</v>
      </c>
      <c r="E209" s="1" t="n">
        <f aca="false">'3-Position 50m'!F9</f>
        <v>0</v>
      </c>
      <c r="F209" s="1" t="n">
        <f aca="false">IF('3-Position 50m'!M9="",0,'3-Position 50m'!M9)</f>
        <v>0</v>
      </c>
      <c r="G209" s="1" t="n">
        <f aca="false">IF('3-Position 50m'!N9="",0,'3-Position 50m'!N9)</f>
        <v>0</v>
      </c>
      <c r="H209" s="1" t="n">
        <f aca="false">IFERROR(YEAR('3-Position 50m'!A9),"")</f>
        <v>1899</v>
      </c>
      <c r="I209" s="1" t="n">
        <f aca="false">IF(AND('3-Position 50m'!D9&lt;&gt;"",'3-Position 50m'!M9&lt;&gt;""),1,0)</f>
        <v>0</v>
      </c>
    </row>
    <row r="210" customFormat="false" ht="15" hidden="false" customHeight="true" outlineLevel="0" collapsed="false">
      <c r="A210" s="83" t="n">
        <f aca="false">'3-Position 50m'!A10</f>
        <v>0</v>
      </c>
      <c r="B210" s="1" t="n">
        <f aca="false">'3-Position 50m'!C10</f>
        <v>0</v>
      </c>
      <c r="C210" s="1" t="n">
        <f aca="false">'3-Position 50m'!D10</f>
        <v>0</v>
      </c>
      <c r="D210" s="1" t="n">
        <f aca="false">'3-Position 50m'!E10</f>
        <v>0</v>
      </c>
      <c r="E210" s="1" t="n">
        <f aca="false">'3-Position 50m'!F10</f>
        <v>0</v>
      </c>
      <c r="F210" s="1" t="n">
        <f aca="false">IF('3-Position 50m'!M10="",0,'3-Position 50m'!M10)</f>
        <v>0</v>
      </c>
      <c r="G210" s="1" t="n">
        <f aca="false">IF('3-Position 50m'!N10="",0,'3-Position 50m'!N10)</f>
        <v>0</v>
      </c>
      <c r="H210" s="1" t="n">
        <f aca="false">IFERROR(YEAR('3-Position 50m'!A10),"")</f>
        <v>1899</v>
      </c>
      <c r="I210" s="1" t="n">
        <f aca="false">IF(AND('3-Position 50m'!D10&lt;&gt;"",'3-Position 50m'!M10&lt;&gt;""),1,0)</f>
        <v>0</v>
      </c>
    </row>
    <row r="211" customFormat="false" ht="15" hidden="false" customHeight="true" outlineLevel="0" collapsed="false">
      <c r="A211" s="83" t="n">
        <f aca="false">'3-Position 50m'!A11</f>
        <v>0</v>
      </c>
      <c r="B211" s="1" t="n">
        <f aca="false">'3-Position 50m'!C11</f>
        <v>0</v>
      </c>
      <c r="C211" s="1" t="n">
        <f aca="false">'3-Position 50m'!D11</f>
        <v>0</v>
      </c>
      <c r="D211" s="1" t="n">
        <f aca="false">'3-Position 50m'!E11</f>
        <v>0</v>
      </c>
      <c r="E211" s="1" t="n">
        <f aca="false">'3-Position 50m'!F11</f>
        <v>0</v>
      </c>
      <c r="F211" s="1" t="n">
        <f aca="false">IF('3-Position 50m'!M11="",0,'3-Position 50m'!M11)</f>
        <v>0</v>
      </c>
      <c r="G211" s="1" t="n">
        <f aca="false">IF('3-Position 50m'!N11="",0,'3-Position 50m'!N11)</f>
        <v>0</v>
      </c>
      <c r="H211" s="1" t="n">
        <f aca="false">IFERROR(YEAR('3-Position 50m'!A11),"")</f>
        <v>1899</v>
      </c>
      <c r="I211" s="1" t="n">
        <f aca="false">IF(AND('3-Position 50m'!D11&lt;&gt;"",'3-Position 50m'!M11&lt;&gt;""),1,0)</f>
        <v>0</v>
      </c>
    </row>
    <row r="212" customFormat="false" ht="15" hidden="false" customHeight="true" outlineLevel="0" collapsed="false">
      <c r="A212" s="83" t="n">
        <f aca="false">'3-Position 50m'!A12</f>
        <v>0</v>
      </c>
      <c r="B212" s="1" t="n">
        <f aca="false">'3-Position 50m'!C12</f>
        <v>0</v>
      </c>
      <c r="C212" s="1" t="n">
        <f aca="false">'3-Position 50m'!D12</f>
        <v>0</v>
      </c>
      <c r="D212" s="1" t="n">
        <f aca="false">'3-Position 50m'!E12</f>
        <v>0</v>
      </c>
      <c r="E212" s="1" t="n">
        <f aca="false">'3-Position 50m'!F12</f>
        <v>0</v>
      </c>
      <c r="F212" s="1" t="n">
        <f aca="false">IF('3-Position 50m'!M12="",0,'3-Position 50m'!M12)</f>
        <v>0</v>
      </c>
      <c r="G212" s="1" t="n">
        <f aca="false">IF('3-Position 50m'!N12="",0,'3-Position 50m'!N12)</f>
        <v>0</v>
      </c>
      <c r="H212" s="1" t="n">
        <f aca="false">IFERROR(YEAR('3-Position 50m'!A12),"")</f>
        <v>1899</v>
      </c>
      <c r="I212" s="1" t="n">
        <f aca="false">IF(AND('3-Position 50m'!D12&lt;&gt;"",'3-Position 50m'!M12&lt;&gt;""),1,0)</f>
        <v>0</v>
      </c>
    </row>
    <row r="213" customFormat="false" ht="15" hidden="false" customHeight="true" outlineLevel="0" collapsed="false">
      <c r="A213" s="83" t="n">
        <f aca="false">'3-Position 50m'!A13</f>
        <v>0</v>
      </c>
      <c r="B213" s="1" t="n">
        <f aca="false">'3-Position 50m'!C13</f>
        <v>0</v>
      </c>
      <c r="C213" s="1" t="n">
        <f aca="false">'3-Position 50m'!D13</f>
        <v>0</v>
      </c>
      <c r="D213" s="1" t="n">
        <f aca="false">'3-Position 50m'!E13</f>
        <v>0</v>
      </c>
      <c r="E213" s="1" t="n">
        <f aca="false">'3-Position 50m'!F13</f>
        <v>0</v>
      </c>
      <c r="F213" s="1" t="n">
        <f aca="false">IF('3-Position 50m'!M13="",0,'3-Position 50m'!M13)</f>
        <v>0</v>
      </c>
      <c r="G213" s="1" t="n">
        <f aca="false">IF('3-Position 50m'!N13="",0,'3-Position 50m'!N13)</f>
        <v>0</v>
      </c>
      <c r="H213" s="1" t="n">
        <f aca="false">IFERROR(YEAR('3-Position 50m'!A13),"")</f>
        <v>1899</v>
      </c>
      <c r="I213" s="1" t="n">
        <f aca="false">IF(AND('3-Position 50m'!D13&lt;&gt;"",'3-Position 50m'!M13&lt;&gt;""),1,0)</f>
        <v>0</v>
      </c>
    </row>
    <row r="214" customFormat="false" ht="15" hidden="false" customHeight="true" outlineLevel="0" collapsed="false">
      <c r="A214" s="83" t="n">
        <f aca="false">'3-Position 50m'!A14</f>
        <v>0</v>
      </c>
      <c r="B214" s="1" t="n">
        <f aca="false">'3-Position 50m'!C14</f>
        <v>0</v>
      </c>
      <c r="C214" s="1" t="n">
        <f aca="false">'3-Position 50m'!D14</f>
        <v>0</v>
      </c>
      <c r="D214" s="1" t="n">
        <f aca="false">'3-Position 50m'!E14</f>
        <v>0</v>
      </c>
      <c r="E214" s="1" t="n">
        <f aca="false">'3-Position 50m'!F14</f>
        <v>0</v>
      </c>
      <c r="F214" s="1" t="n">
        <f aca="false">IF('3-Position 50m'!M14="",0,'3-Position 50m'!M14)</f>
        <v>0</v>
      </c>
      <c r="G214" s="1" t="n">
        <f aca="false">IF('3-Position 50m'!N14="",0,'3-Position 50m'!N14)</f>
        <v>0</v>
      </c>
      <c r="H214" s="1" t="n">
        <f aca="false">IFERROR(YEAR('3-Position 50m'!A14),"")</f>
        <v>1899</v>
      </c>
      <c r="I214" s="1" t="n">
        <f aca="false">IF(AND('3-Position 50m'!D14&lt;&gt;"",'3-Position 50m'!M14&lt;&gt;""),1,0)</f>
        <v>0</v>
      </c>
    </row>
    <row r="215" customFormat="false" ht="15" hidden="false" customHeight="true" outlineLevel="0" collapsed="false">
      <c r="A215" s="83" t="n">
        <f aca="false">'3-Position 50m'!A15</f>
        <v>0</v>
      </c>
      <c r="B215" s="1" t="n">
        <f aca="false">'3-Position 50m'!C15</f>
        <v>0</v>
      </c>
      <c r="C215" s="1" t="n">
        <f aca="false">'3-Position 50m'!D15</f>
        <v>0</v>
      </c>
      <c r="D215" s="1" t="n">
        <f aca="false">'3-Position 50m'!E15</f>
        <v>0</v>
      </c>
      <c r="E215" s="1" t="n">
        <f aca="false">'3-Position 50m'!F15</f>
        <v>0</v>
      </c>
      <c r="F215" s="1" t="n">
        <f aca="false">IF('3-Position 50m'!M15="",0,'3-Position 50m'!M15)</f>
        <v>0</v>
      </c>
      <c r="G215" s="1" t="n">
        <f aca="false">IF('3-Position 50m'!N15="",0,'3-Position 50m'!N15)</f>
        <v>0</v>
      </c>
      <c r="H215" s="1" t="n">
        <f aca="false">IFERROR(YEAR('3-Position 50m'!A15),"")</f>
        <v>1899</v>
      </c>
      <c r="I215" s="1" t="n">
        <f aca="false">IF(AND('3-Position 50m'!D15&lt;&gt;"",'3-Position 50m'!M15&lt;&gt;""),1,0)</f>
        <v>0</v>
      </c>
    </row>
    <row r="216" customFormat="false" ht="15" hidden="false" customHeight="true" outlineLevel="0" collapsed="false">
      <c r="A216" s="83" t="n">
        <f aca="false">'3-Position 50m'!A16</f>
        <v>0</v>
      </c>
      <c r="B216" s="1" t="n">
        <f aca="false">'3-Position 50m'!C16</f>
        <v>0</v>
      </c>
      <c r="C216" s="1" t="n">
        <f aca="false">'3-Position 50m'!D16</f>
        <v>0</v>
      </c>
      <c r="D216" s="1" t="n">
        <f aca="false">'3-Position 50m'!E16</f>
        <v>0</v>
      </c>
      <c r="E216" s="1" t="n">
        <f aca="false">'3-Position 50m'!F16</f>
        <v>0</v>
      </c>
      <c r="F216" s="1" t="n">
        <f aca="false">IF('3-Position 50m'!M16="",0,'3-Position 50m'!M16)</f>
        <v>0</v>
      </c>
      <c r="G216" s="1" t="n">
        <f aca="false">IF('3-Position 50m'!N16="",0,'3-Position 50m'!N16)</f>
        <v>0</v>
      </c>
      <c r="H216" s="1" t="n">
        <f aca="false">IFERROR(YEAR('3-Position 50m'!A16),"")</f>
        <v>1899</v>
      </c>
      <c r="I216" s="1" t="n">
        <f aca="false">IF(AND('3-Position 50m'!D16&lt;&gt;"",'3-Position 50m'!M16&lt;&gt;""),1,0)</f>
        <v>0</v>
      </c>
    </row>
    <row r="217" customFormat="false" ht="15" hidden="false" customHeight="true" outlineLevel="0" collapsed="false">
      <c r="A217" s="83" t="n">
        <f aca="false">'3-Position 50m'!A17</f>
        <v>0</v>
      </c>
      <c r="B217" s="1" t="n">
        <f aca="false">'3-Position 50m'!C17</f>
        <v>0</v>
      </c>
      <c r="C217" s="1" t="n">
        <f aca="false">'3-Position 50m'!D17</f>
        <v>0</v>
      </c>
      <c r="D217" s="1" t="n">
        <f aca="false">'3-Position 50m'!E17</f>
        <v>0</v>
      </c>
      <c r="E217" s="1" t="n">
        <f aca="false">'3-Position 50m'!F17</f>
        <v>0</v>
      </c>
      <c r="F217" s="1" t="n">
        <f aca="false">IF('3-Position 50m'!M17="",0,'3-Position 50m'!M17)</f>
        <v>0</v>
      </c>
      <c r="G217" s="1" t="n">
        <f aca="false">IF('3-Position 50m'!N17="",0,'3-Position 50m'!N17)</f>
        <v>0</v>
      </c>
      <c r="H217" s="1" t="n">
        <f aca="false">IFERROR(YEAR('3-Position 50m'!A17),"")</f>
        <v>1899</v>
      </c>
      <c r="I217" s="1" t="n">
        <f aca="false">IF(AND('3-Position 50m'!D17&lt;&gt;"",'3-Position 50m'!M17&lt;&gt;""),1,0)</f>
        <v>0</v>
      </c>
    </row>
    <row r="218" customFormat="false" ht="15" hidden="false" customHeight="true" outlineLevel="0" collapsed="false">
      <c r="A218" s="83" t="n">
        <f aca="false">'3-Position 50m'!A18</f>
        <v>0</v>
      </c>
      <c r="B218" s="1" t="n">
        <f aca="false">'3-Position 50m'!C18</f>
        <v>0</v>
      </c>
      <c r="C218" s="1" t="n">
        <f aca="false">'3-Position 50m'!D18</f>
        <v>0</v>
      </c>
      <c r="D218" s="1" t="n">
        <f aca="false">'3-Position 50m'!E18</f>
        <v>0</v>
      </c>
      <c r="E218" s="1" t="n">
        <f aca="false">'3-Position 50m'!F18</f>
        <v>0</v>
      </c>
      <c r="F218" s="1" t="n">
        <f aca="false">IF('3-Position 50m'!M18="",0,'3-Position 50m'!M18)</f>
        <v>0</v>
      </c>
      <c r="G218" s="1" t="n">
        <f aca="false">IF('3-Position 50m'!N18="",0,'3-Position 50m'!N18)</f>
        <v>0</v>
      </c>
      <c r="H218" s="1" t="n">
        <f aca="false">IFERROR(YEAR('3-Position 50m'!A18),"")</f>
        <v>1899</v>
      </c>
      <c r="I218" s="1" t="n">
        <f aca="false">IF(AND('3-Position 50m'!D18&lt;&gt;"",'3-Position 50m'!M18&lt;&gt;""),1,0)</f>
        <v>0</v>
      </c>
    </row>
    <row r="219" customFormat="false" ht="15" hidden="false" customHeight="true" outlineLevel="0" collapsed="false">
      <c r="A219" s="83" t="n">
        <f aca="false">'3-Position 50m'!A19</f>
        <v>0</v>
      </c>
      <c r="B219" s="1" t="n">
        <f aca="false">'3-Position 50m'!C19</f>
        <v>0</v>
      </c>
      <c r="C219" s="1" t="n">
        <f aca="false">'3-Position 50m'!D19</f>
        <v>0</v>
      </c>
      <c r="D219" s="1" t="n">
        <f aca="false">'3-Position 50m'!E19</f>
        <v>0</v>
      </c>
      <c r="E219" s="1" t="n">
        <f aca="false">'3-Position 50m'!F19</f>
        <v>0</v>
      </c>
      <c r="F219" s="1" t="n">
        <f aca="false">IF('3-Position 50m'!M19="",0,'3-Position 50m'!M19)</f>
        <v>0</v>
      </c>
      <c r="G219" s="1" t="n">
        <f aca="false">IF('3-Position 50m'!N19="",0,'3-Position 50m'!N19)</f>
        <v>0</v>
      </c>
      <c r="H219" s="1" t="n">
        <f aca="false">IFERROR(YEAR('3-Position 50m'!A19),"")</f>
        <v>1899</v>
      </c>
      <c r="I219" s="1" t="n">
        <f aca="false">IF(AND('3-Position 50m'!D19&lt;&gt;"",'3-Position 50m'!M19&lt;&gt;""),1,0)</f>
        <v>0</v>
      </c>
    </row>
    <row r="220" customFormat="false" ht="15" hidden="false" customHeight="true" outlineLevel="0" collapsed="false">
      <c r="A220" s="83" t="n">
        <f aca="false">'3-Position 50m'!A20</f>
        <v>0</v>
      </c>
      <c r="B220" s="1" t="n">
        <f aca="false">'3-Position 50m'!C20</f>
        <v>0</v>
      </c>
      <c r="C220" s="1" t="n">
        <f aca="false">'3-Position 50m'!D20</f>
        <v>0</v>
      </c>
      <c r="D220" s="1" t="n">
        <f aca="false">'3-Position 50m'!E20</f>
        <v>0</v>
      </c>
      <c r="E220" s="1" t="n">
        <f aca="false">'3-Position 50m'!F20</f>
        <v>0</v>
      </c>
      <c r="F220" s="1" t="n">
        <f aca="false">IF('3-Position 50m'!M20="",0,'3-Position 50m'!M20)</f>
        <v>0</v>
      </c>
      <c r="G220" s="1" t="n">
        <f aca="false">IF('3-Position 50m'!N20="",0,'3-Position 50m'!N20)</f>
        <v>0</v>
      </c>
      <c r="H220" s="1" t="n">
        <f aca="false">IFERROR(YEAR('3-Position 50m'!A20),"")</f>
        <v>1899</v>
      </c>
      <c r="I220" s="1" t="n">
        <f aca="false">IF(AND('3-Position 50m'!D20&lt;&gt;"",'3-Position 50m'!M20&lt;&gt;""),1,0)</f>
        <v>0</v>
      </c>
    </row>
    <row r="221" customFormat="false" ht="15" hidden="false" customHeight="true" outlineLevel="0" collapsed="false">
      <c r="A221" s="83" t="n">
        <f aca="false">'3-Position 50m'!A21</f>
        <v>0</v>
      </c>
      <c r="B221" s="1" t="n">
        <f aca="false">'3-Position 50m'!C21</f>
        <v>0</v>
      </c>
      <c r="C221" s="1" t="n">
        <f aca="false">'3-Position 50m'!D21</f>
        <v>0</v>
      </c>
      <c r="D221" s="1" t="n">
        <f aca="false">'3-Position 50m'!E21</f>
        <v>0</v>
      </c>
      <c r="E221" s="1" t="n">
        <f aca="false">'3-Position 50m'!F21</f>
        <v>0</v>
      </c>
      <c r="F221" s="1" t="n">
        <f aca="false">IF('3-Position 50m'!M21="",0,'3-Position 50m'!M21)</f>
        <v>0</v>
      </c>
      <c r="G221" s="1" t="n">
        <f aca="false">IF('3-Position 50m'!N21="",0,'3-Position 50m'!N21)</f>
        <v>0</v>
      </c>
      <c r="H221" s="1" t="n">
        <f aca="false">IFERROR(YEAR('3-Position 50m'!A21),"")</f>
        <v>1899</v>
      </c>
      <c r="I221" s="1" t="n">
        <f aca="false">IF(AND('3-Position 50m'!D21&lt;&gt;"",'3-Position 50m'!M21&lt;&gt;""),1,0)</f>
        <v>0</v>
      </c>
    </row>
    <row r="222" customFormat="false" ht="15" hidden="false" customHeight="true" outlineLevel="0" collapsed="false">
      <c r="A222" s="83" t="n">
        <f aca="false">'3-Position 50m'!A22</f>
        <v>0</v>
      </c>
      <c r="B222" s="1" t="n">
        <f aca="false">'3-Position 50m'!C22</f>
        <v>0</v>
      </c>
      <c r="C222" s="1" t="n">
        <f aca="false">'3-Position 50m'!D22</f>
        <v>0</v>
      </c>
      <c r="D222" s="1" t="n">
        <f aca="false">'3-Position 50m'!E22</f>
        <v>0</v>
      </c>
      <c r="E222" s="1" t="n">
        <f aca="false">'3-Position 50m'!F22</f>
        <v>0</v>
      </c>
      <c r="F222" s="1" t="n">
        <f aca="false">IF('3-Position 50m'!M22="",0,'3-Position 50m'!M22)</f>
        <v>0</v>
      </c>
      <c r="G222" s="1" t="n">
        <f aca="false">IF('3-Position 50m'!N22="",0,'3-Position 50m'!N22)</f>
        <v>0</v>
      </c>
      <c r="H222" s="1" t="n">
        <f aca="false">IFERROR(YEAR('3-Position 50m'!A22),"")</f>
        <v>1899</v>
      </c>
      <c r="I222" s="1" t="n">
        <f aca="false">IF(AND('3-Position 50m'!D22&lt;&gt;"",'3-Position 50m'!M22&lt;&gt;""),1,0)</f>
        <v>0</v>
      </c>
    </row>
    <row r="223" customFormat="false" ht="15" hidden="false" customHeight="true" outlineLevel="0" collapsed="false">
      <c r="A223" s="83" t="n">
        <f aca="false">'3-Position 50m'!A23</f>
        <v>0</v>
      </c>
      <c r="B223" s="1" t="n">
        <f aca="false">'3-Position 50m'!C23</f>
        <v>0</v>
      </c>
      <c r="C223" s="1" t="n">
        <f aca="false">'3-Position 50m'!D23</f>
        <v>0</v>
      </c>
      <c r="D223" s="1" t="n">
        <f aca="false">'3-Position 50m'!E23</f>
        <v>0</v>
      </c>
      <c r="E223" s="1" t="n">
        <f aca="false">'3-Position 50m'!F23</f>
        <v>0</v>
      </c>
      <c r="F223" s="1" t="n">
        <f aca="false">IF('3-Position 50m'!M23="",0,'3-Position 50m'!M23)</f>
        <v>0</v>
      </c>
      <c r="G223" s="1" t="n">
        <f aca="false">IF('3-Position 50m'!N23="",0,'3-Position 50m'!N23)</f>
        <v>0</v>
      </c>
      <c r="H223" s="1" t="n">
        <f aca="false">IFERROR(YEAR('3-Position 50m'!A23),"")</f>
        <v>1899</v>
      </c>
      <c r="I223" s="1" t="n">
        <f aca="false">IF(AND('3-Position 50m'!D23&lt;&gt;"",'3-Position 50m'!M23&lt;&gt;""),1,0)</f>
        <v>0</v>
      </c>
    </row>
    <row r="224" customFormat="false" ht="15" hidden="false" customHeight="true" outlineLevel="0" collapsed="false">
      <c r="A224" s="83" t="n">
        <f aca="false">'3-Position 50m'!A24</f>
        <v>0</v>
      </c>
      <c r="B224" s="1" t="n">
        <f aca="false">'3-Position 50m'!C24</f>
        <v>0</v>
      </c>
      <c r="C224" s="1" t="n">
        <f aca="false">'3-Position 50m'!D24</f>
        <v>0</v>
      </c>
      <c r="D224" s="1" t="n">
        <f aca="false">'3-Position 50m'!E24</f>
        <v>0</v>
      </c>
      <c r="E224" s="1" t="n">
        <f aca="false">'3-Position 50m'!F24</f>
        <v>0</v>
      </c>
      <c r="F224" s="1" t="n">
        <f aca="false">IF('3-Position 50m'!M24="",0,'3-Position 50m'!M24)</f>
        <v>0</v>
      </c>
      <c r="G224" s="1" t="n">
        <f aca="false">IF('3-Position 50m'!N24="",0,'3-Position 50m'!N24)</f>
        <v>0</v>
      </c>
      <c r="H224" s="1" t="n">
        <f aca="false">IFERROR(YEAR('3-Position 50m'!A24),"")</f>
        <v>1899</v>
      </c>
      <c r="I224" s="1" t="n">
        <f aca="false">IF(AND('3-Position 50m'!D24&lt;&gt;"",'3-Position 50m'!M24&lt;&gt;""),1,0)</f>
        <v>0</v>
      </c>
    </row>
    <row r="225" customFormat="false" ht="15" hidden="false" customHeight="true" outlineLevel="0" collapsed="false">
      <c r="A225" s="83" t="n">
        <f aca="false">'3-Position 50m'!A25</f>
        <v>0</v>
      </c>
      <c r="B225" s="1" t="n">
        <f aca="false">'3-Position 50m'!C25</f>
        <v>0</v>
      </c>
      <c r="C225" s="1" t="n">
        <f aca="false">'3-Position 50m'!D25</f>
        <v>0</v>
      </c>
      <c r="D225" s="1" t="n">
        <f aca="false">'3-Position 50m'!E25</f>
        <v>0</v>
      </c>
      <c r="E225" s="1" t="n">
        <f aca="false">'3-Position 50m'!F25</f>
        <v>0</v>
      </c>
      <c r="F225" s="1" t="n">
        <f aca="false">IF('3-Position 50m'!M25="",0,'3-Position 50m'!M25)</f>
        <v>0</v>
      </c>
      <c r="G225" s="1" t="n">
        <f aca="false">IF('3-Position 50m'!N25="",0,'3-Position 50m'!N25)</f>
        <v>0</v>
      </c>
      <c r="H225" s="1" t="n">
        <f aca="false">IFERROR(YEAR('3-Position 50m'!A25),"")</f>
        <v>1899</v>
      </c>
      <c r="I225" s="1" t="n">
        <f aca="false">IF(AND('3-Position 50m'!D25&lt;&gt;"",'3-Position 50m'!M25&lt;&gt;""),1,0)</f>
        <v>0</v>
      </c>
    </row>
    <row r="226" customFormat="false" ht="15" hidden="false" customHeight="true" outlineLevel="0" collapsed="false">
      <c r="A226" s="83" t="n">
        <f aca="false">'3-Position 50m'!A26</f>
        <v>0</v>
      </c>
      <c r="B226" s="1" t="n">
        <f aca="false">'3-Position 50m'!C26</f>
        <v>0</v>
      </c>
      <c r="C226" s="1" t="n">
        <f aca="false">'3-Position 50m'!D26</f>
        <v>0</v>
      </c>
      <c r="D226" s="1" t="n">
        <f aca="false">'3-Position 50m'!E26</f>
        <v>0</v>
      </c>
      <c r="E226" s="1" t="n">
        <f aca="false">'3-Position 50m'!F26</f>
        <v>0</v>
      </c>
      <c r="F226" s="1" t="n">
        <f aca="false">IF('3-Position 50m'!M26="",0,'3-Position 50m'!M26)</f>
        <v>0</v>
      </c>
      <c r="G226" s="1" t="n">
        <f aca="false">IF('3-Position 50m'!N26="",0,'3-Position 50m'!N26)</f>
        <v>0</v>
      </c>
      <c r="H226" s="1" t="n">
        <f aca="false">IFERROR(YEAR('3-Position 50m'!A26),"")</f>
        <v>1899</v>
      </c>
      <c r="I226" s="1" t="n">
        <f aca="false">IF(AND('3-Position 50m'!D26&lt;&gt;"",'3-Position 50m'!M26&lt;&gt;""),1,0)</f>
        <v>0</v>
      </c>
    </row>
    <row r="227" customFormat="false" ht="15" hidden="false" customHeight="true" outlineLevel="0" collapsed="false">
      <c r="A227" s="83" t="n">
        <f aca="false">'3-Position 50m'!A27</f>
        <v>0</v>
      </c>
      <c r="B227" s="1" t="n">
        <f aca="false">'3-Position 50m'!C27</f>
        <v>0</v>
      </c>
      <c r="C227" s="1" t="n">
        <f aca="false">'3-Position 50m'!D27</f>
        <v>0</v>
      </c>
      <c r="D227" s="1" t="n">
        <f aca="false">'3-Position 50m'!E27</f>
        <v>0</v>
      </c>
      <c r="E227" s="1" t="n">
        <f aca="false">'3-Position 50m'!F27</f>
        <v>0</v>
      </c>
      <c r="F227" s="1" t="n">
        <f aca="false">IF('3-Position 50m'!M27="",0,'3-Position 50m'!M27)</f>
        <v>0</v>
      </c>
      <c r="G227" s="1" t="n">
        <f aca="false">IF('3-Position 50m'!N27="",0,'3-Position 50m'!N27)</f>
        <v>0</v>
      </c>
      <c r="H227" s="1" t="n">
        <f aca="false">IFERROR(YEAR('3-Position 50m'!A27),"")</f>
        <v>1899</v>
      </c>
      <c r="I227" s="1" t="n">
        <f aca="false">IF(AND('3-Position 50m'!D27&lt;&gt;"",'3-Position 50m'!M27&lt;&gt;""),1,0)</f>
        <v>0</v>
      </c>
    </row>
    <row r="228" customFormat="false" ht="15" hidden="false" customHeight="true" outlineLevel="0" collapsed="false">
      <c r="A228" s="83" t="n">
        <f aca="false">'3-Position 50m'!A28</f>
        <v>0</v>
      </c>
      <c r="B228" s="1" t="n">
        <f aca="false">'3-Position 50m'!C28</f>
        <v>0</v>
      </c>
      <c r="C228" s="1" t="n">
        <f aca="false">'3-Position 50m'!D28</f>
        <v>0</v>
      </c>
      <c r="D228" s="1" t="n">
        <f aca="false">'3-Position 50m'!E28</f>
        <v>0</v>
      </c>
      <c r="E228" s="1" t="n">
        <f aca="false">'3-Position 50m'!F28</f>
        <v>0</v>
      </c>
      <c r="F228" s="1" t="n">
        <f aca="false">IF('3-Position 50m'!M28="",0,'3-Position 50m'!M28)</f>
        <v>0</v>
      </c>
      <c r="G228" s="1" t="n">
        <f aca="false">IF('3-Position 50m'!N28="",0,'3-Position 50m'!N28)</f>
        <v>0</v>
      </c>
      <c r="H228" s="1" t="n">
        <f aca="false">IFERROR(YEAR('3-Position 50m'!A28),"")</f>
        <v>1899</v>
      </c>
      <c r="I228" s="1" t="n">
        <f aca="false">IF(AND('3-Position 50m'!D28&lt;&gt;"",'3-Position 50m'!M28&lt;&gt;""),1,0)</f>
        <v>0</v>
      </c>
    </row>
    <row r="229" customFormat="false" ht="15" hidden="false" customHeight="true" outlineLevel="0" collapsed="false">
      <c r="A229" s="83" t="n">
        <f aca="false">'3-Position 50m'!A29</f>
        <v>0</v>
      </c>
      <c r="B229" s="1" t="n">
        <f aca="false">'3-Position 50m'!C29</f>
        <v>0</v>
      </c>
      <c r="C229" s="1" t="n">
        <f aca="false">'3-Position 50m'!D29</f>
        <v>0</v>
      </c>
      <c r="D229" s="1" t="n">
        <f aca="false">'3-Position 50m'!E29</f>
        <v>0</v>
      </c>
      <c r="E229" s="1" t="n">
        <f aca="false">'3-Position 50m'!F29</f>
        <v>0</v>
      </c>
      <c r="F229" s="1" t="n">
        <f aca="false">IF('3-Position 50m'!M29="",0,'3-Position 50m'!M29)</f>
        <v>0</v>
      </c>
      <c r="G229" s="1" t="n">
        <f aca="false">IF('3-Position 50m'!N29="",0,'3-Position 50m'!N29)</f>
        <v>0</v>
      </c>
      <c r="H229" s="1" t="n">
        <f aca="false">IFERROR(YEAR('3-Position 50m'!A29),"")</f>
        <v>1899</v>
      </c>
      <c r="I229" s="1" t="n">
        <f aca="false">IF(AND('3-Position 50m'!D29&lt;&gt;"",'3-Position 50m'!M29&lt;&gt;""),1,0)</f>
        <v>0</v>
      </c>
    </row>
    <row r="230" customFormat="false" ht="15" hidden="false" customHeight="true" outlineLevel="0" collapsed="false">
      <c r="A230" s="83" t="n">
        <f aca="false">'3-Position 50m'!A30</f>
        <v>0</v>
      </c>
      <c r="B230" s="1" t="n">
        <f aca="false">'3-Position 50m'!C30</f>
        <v>0</v>
      </c>
      <c r="C230" s="1" t="n">
        <f aca="false">'3-Position 50m'!D30</f>
        <v>0</v>
      </c>
      <c r="D230" s="1" t="n">
        <f aca="false">'3-Position 50m'!E30</f>
        <v>0</v>
      </c>
      <c r="E230" s="1" t="n">
        <f aca="false">'3-Position 50m'!F30</f>
        <v>0</v>
      </c>
      <c r="F230" s="1" t="n">
        <f aca="false">IF('3-Position 50m'!M30="",0,'3-Position 50m'!M30)</f>
        <v>0</v>
      </c>
      <c r="G230" s="1" t="n">
        <f aca="false">IF('3-Position 50m'!N30="",0,'3-Position 50m'!N30)</f>
        <v>0</v>
      </c>
      <c r="H230" s="1" t="n">
        <f aca="false">IFERROR(YEAR('3-Position 50m'!A30),"")</f>
        <v>1899</v>
      </c>
      <c r="I230" s="1" t="n">
        <f aca="false">IF(AND('3-Position 50m'!D30&lt;&gt;"",'3-Position 50m'!M30&lt;&gt;""),1,0)</f>
        <v>0</v>
      </c>
    </row>
    <row r="231" customFormat="false" ht="15" hidden="false" customHeight="true" outlineLevel="0" collapsed="false">
      <c r="A231" s="83" t="n">
        <f aca="false">'3-Position 50m'!A31</f>
        <v>0</v>
      </c>
      <c r="B231" s="1" t="n">
        <f aca="false">'3-Position 50m'!C31</f>
        <v>0</v>
      </c>
      <c r="C231" s="1" t="n">
        <f aca="false">'3-Position 50m'!D31</f>
        <v>0</v>
      </c>
      <c r="D231" s="1" t="n">
        <f aca="false">'3-Position 50m'!E31</f>
        <v>0</v>
      </c>
      <c r="E231" s="1" t="n">
        <f aca="false">'3-Position 50m'!F31</f>
        <v>0</v>
      </c>
      <c r="F231" s="1" t="n">
        <f aca="false">IF('3-Position 50m'!M31="",0,'3-Position 50m'!M31)</f>
        <v>0</v>
      </c>
      <c r="G231" s="1" t="n">
        <f aca="false">IF('3-Position 50m'!N31="",0,'3-Position 50m'!N31)</f>
        <v>0</v>
      </c>
      <c r="H231" s="1" t="n">
        <f aca="false">IFERROR(YEAR('3-Position 50m'!A31),"")</f>
        <v>1899</v>
      </c>
      <c r="I231" s="1" t="n">
        <f aca="false">IF(AND('3-Position 50m'!D31&lt;&gt;"",'3-Position 50m'!M31&lt;&gt;""),1,0)</f>
        <v>0</v>
      </c>
    </row>
    <row r="232" customFormat="false" ht="15" hidden="false" customHeight="true" outlineLevel="0" collapsed="false">
      <c r="A232" s="83" t="n">
        <f aca="false">'3-Position 50m'!A32</f>
        <v>0</v>
      </c>
      <c r="B232" s="1" t="n">
        <f aca="false">'3-Position 50m'!C32</f>
        <v>0</v>
      </c>
      <c r="C232" s="1" t="n">
        <f aca="false">'3-Position 50m'!D32</f>
        <v>0</v>
      </c>
      <c r="D232" s="1" t="n">
        <f aca="false">'3-Position 50m'!E32</f>
        <v>0</v>
      </c>
      <c r="E232" s="1" t="n">
        <f aca="false">'3-Position 50m'!F32</f>
        <v>0</v>
      </c>
      <c r="F232" s="1" t="n">
        <f aca="false">IF('3-Position 50m'!M32="",0,'3-Position 50m'!M32)</f>
        <v>0</v>
      </c>
      <c r="G232" s="1" t="n">
        <f aca="false">IF('3-Position 50m'!N32="",0,'3-Position 50m'!N32)</f>
        <v>0</v>
      </c>
      <c r="H232" s="1" t="n">
        <f aca="false">IFERROR(YEAR('3-Position 50m'!A32),"")</f>
        <v>1899</v>
      </c>
      <c r="I232" s="1" t="n">
        <f aca="false">IF(AND('3-Position 50m'!D32&lt;&gt;"",'3-Position 50m'!M32&lt;&gt;""),1,0)</f>
        <v>0</v>
      </c>
    </row>
    <row r="233" customFormat="false" ht="15" hidden="false" customHeight="true" outlineLevel="0" collapsed="false">
      <c r="A233" s="83" t="n">
        <f aca="false">'3-Position 50m'!A33</f>
        <v>0</v>
      </c>
      <c r="B233" s="1" t="n">
        <f aca="false">'3-Position 50m'!C33</f>
        <v>0</v>
      </c>
      <c r="C233" s="1" t="n">
        <f aca="false">'3-Position 50m'!D33</f>
        <v>0</v>
      </c>
      <c r="D233" s="1" t="n">
        <f aca="false">'3-Position 50m'!E33</f>
        <v>0</v>
      </c>
      <c r="E233" s="1" t="n">
        <f aca="false">'3-Position 50m'!F33</f>
        <v>0</v>
      </c>
      <c r="F233" s="1" t="n">
        <f aca="false">IF('3-Position 50m'!M33="",0,'3-Position 50m'!M33)</f>
        <v>0</v>
      </c>
      <c r="G233" s="1" t="n">
        <f aca="false">IF('3-Position 50m'!N33="",0,'3-Position 50m'!N33)</f>
        <v>0</v>
      </c>
      <c r="H233" s="1" t="n">
        <f aca="false">IFERROR(YEAR('3-Position 50m'!A33),"")</f>
        <v>1899</v>
      </c>
      <c r="I233" s="1" t="n">
        <f aca="false">IF(AND('3-Position 50m'!D33&lt;&gt;"",'3-Position 50m'!M33&lt;&gt;""),1,0)</f>
        <v>0</v>
      </c>
    </row>
    <row r="234" customFormat="false" ht="15" hidden="false" customHeight="true" outlineLevel="0" collapsed="false">
      <c r="A234" s="83" t="n">
        <f aca="false">'3-Position 50m'!A34</f>
        <v>0</v>
      </c>
      <c r="B234" s="1" t="n">
        <f aca="false">'3-Position 50m'!C34</f>
        <v>0</v>
      </c>
      <c r="C234" s="1" t="n">
        <f aca="false">'3-Position 50m'!D34</f>
        <v>0</v>
      </c>
      <c r="D234" s="1" t="n">
        <f aca="false">'3-Position 50m'!E34</f>
        <v>0</v>
      </c>
      <c r="E234" s="1" t="n">
        <f aca="false">'3-Position 50m'!F34</f>
        <v>0</v>
      </c>
      <c r="F234" s="1" t="n">
        <f aca="false">IF('3-Position 50m'!M34="",0,'3-Position 50m'!M34)</f>
        <v>0</v>
      </c>
      <c r="G234" s="1" t="n">
        <f aca="false">IF('3-Position 50m'!N34="",0,'3-Position 50m'!N34)</f>
        <v>0</v>
      </c>
      <c r="H234" s="1" t="n">
        <f aca="false">IFERROR(YEAR('3-Position 50m'!A34),"")</f>
        <v>1899</v>
      </c>
      <c r="I234" s="1" t="n">
        <f aca="false">IF(AND('3-Position 50m'!D34&lt;&gt;"",'3-Position 50m'!M34&lt;&gt;""),1,0)</f>
        <v>0</v>
      </c>
    </row>
    <row r="235" customFormat="false" ht="15" hidden="false" customHeight="true" outlineLevel="0" collapsed="false">
      <c r="A235" s="83" t="n">
        <f aca="false">'3-Position 50m'!A35</f>
        <v>0</v>
      </c>
      <c r="B235" s="1" t="n">
        <f aca="false">'3-Position 50m'!C35</f>
        <v>0</v>
      </c>
      <c r="C235" s="1" t="n">
        <f aca="false">'3-Position 50m'!D35</f>
        <v>0</v>
      </c>
      <c r="D235" s="1" t="n">
        <f aca="false">'3-Position 50m'!E35</f>
        <v>0</v>
      </c>
      <c r="E235" s="1" t="n">
        <f aca="false">'3-Position 50m'!F35</f>
        <v>0</v>
      </c>
      <c r="F235" s="1" t="n">
        <f aca="false">IF('3-Position 50m'!M35="",0,'3-Position 50m'!M35)</f>
        <v>0</v>
      </c>
      <c r="G235" s="1" t="n">
        <f aca="false">IF('3-Position 50m'!N35="",0,'3-Position 50m'!N35)</f>
        <v>0</v>
      </c>
      <c r="H235" s="1" t="n">
        <f aca="false">IFERROR(YEAR('3-Position 50m'!A35),"")</f>
        <v>1899</v>
      </c>
      <c r="I235" s="1" t="n">
        <f aca="false">IF(AND('3-Position 50m'!D35&lt;&gt;"",'3-Position 50m'!M35&lt;&gt;""),1,0)</f>
        <v>0</v>
      </c>
    </row>
    <row r="236" customFormat="false" ht="15" hidden="false" customHeight="true" outlineLevel="0" collapsed="false">
      <c r="A236" s="83" t="n">
        <f aca="false">'3-Position 50m'!A36</f>
        <v>0</v>
      </c>
      <c r="B236" s="1" t="n">
        <f aca="false">'3-Position 50m'!C36</f>
        <v>0</v>
      </c>
      <c r="C236" s="1" t="n">
        <f aca="false">'3-Position 50m'!D36</f>
        <v>0</v>
      </c>
      <c r="D236" s="1" t="n">
        <f aca="false">'3-Position 50m'!E36</f>
        <v>0</v>
      </c>
      <c r="E236" s="1" t="n">
        <f aca="false">'3-Position 50m'!F36</f>
        <v>0</v>
      </c>
      <c r="F236" s="1" t="n">
        <f aca="false">IF('3-Position 50m'!M36="",0,'3-Position 50m'!M36)</f>
        <v>0</v>
      </c>
      <c r="G236" s="1" t="n">
        <f aca="false">IF('3-Position 50m'!N36="",0,'3-Position 50m'!N36)</f>
        <v>0</v>
      </c>
      <c r="H236" s="1" t="n">
        <f aca="false">IFERROR(YEAR('3-Position 50m'!A36),"")</f>
        <v>1899</v>
      </c>
      <c r="I236" s="1" t="n">
        <f aca="false">IF(AND('3-Position 50m'!D36&lt;&gt;"",'3-Position 50m'!M36&lt;&gt;""),1,0)</f>
        <v>0</v>
      </c>
    </row>
    <row r="237" customFormat="false" ht="15" hidden="false" customHeight="true" outlineLevel="0" collapsed="false">
      <c r="A237" s="83" t="n">
        <f aca="false">'3-Position 50m'!A37</f>
        <v>0</v>
      </c>
      <c r="B237" s="1" t="n">
        <f aca="false">'3-Position 50m'!C37</f>
        <v>0</v>
      </c>
      <c r="C237" s="1" t="n">
        <f aca="false">'3-Position 50m'!D37</f>
        <v>0</v>
      </c>
      <c r="D237" s="1" t="n">
        <f aca="false">'3-Position 50m'!E37</f>
        <v>0</v>
      </c>
      <c r="E237" s="1" t="n">
        <f aca="false">'3-Position 50m'!F37</f>
        <v>0</v>
      </c>
      <c r="F237" s="1" t="n">
        <f aca="false">IF('3-Position 50m'!M37="",0,'3-Position 50m'!M37)</f>
        <v>0</v>
      </c>
      <c r="G237" s="1" t="n">
        <f aca="false">IF('3-Position 50m'!N37="",0,'3-Position 50m'!N37)</f>
        <v>0</v>
      </c>
      <c r="H237" s="1" t="n">
        <f aca="false">IFERROR(YEAR('3-Position 50m'!A37),"")</f>
        <v>1899</v>
      </c>
      <c r="I237" s="1" t="n">
        <f aca="false">IF(AND('3-Position 50m'!D37&lt;&gt;"",'3-Position 50m'!M37&lt;&gt;""),1,0)</f>
        <v>0</v>
      </c>
    </row>
    <row r="238" customFormat="false" ht="15" hidden="false" customHeight="true" outlineLevel="0" collapsed="false">
      <c r="A238" s="83" t="n">
        <f aca="false">'3-Position 50m'!A38</f>
        <v>0</v>
      </c>
      <c r="B238" s="1" t="n">
        <f aca="false">'3-Position 50m'!C38</f>
        <v>0</v>
      </c>
      <c r="C238" s="1" t="n">
        <f aca="false">'3-Position 50m'!D38</f>
        <v>0</v>
      </c>
      <c r="D238" s="1" t="n">
        <f aca="false">'3-Position 50m'!E38</f>
        <v>0</v>
      </c>
      <c r="E238" s="1" t="n">
        <f aca="false">'3-Position 50m'!F38</f>
        <v>0</v>
      </c>
      <c r="F238" s="1" t="n">
        <f aca="false">IF('3-Position 50m'!M38="",0,'3-Position 50m'!M38)</f>
        <v>0</v>
      </c>
      <c r="G238" s="1" t="n">
        <f aca="false">IF('3-Position 50m'!N38="",0,'3-Position 50m'!N38)</f>
        <v>0</v>
      </c>
      <c r="H238" s="1" t="n">
        <f aca="false">IFERROR(YEAR('3-Position 50m'!A38),"")</f>
        <v>1899</v>
      </c>
      <c r="I238" s="1" t="n">
        <f aca="false">IF(AND('3-Position 50m'!D38&lt;&gt;"",'3-Position 50m'!M38&lt;&gt;""),1,0)</f>
        <v>0</v>
      </c>
    </row>
    <row r="239" customFormat="false" ht="15" hidden="false" customHeight="true" outlineLevel="0" collapsed="false">
      <c r="A239" s="83" t="n">
        <f aca="false">'3-Position 50m'!A39</f>
        <v>0</v>
      </c>
      <c r="B239" s="1" t="n">
        <f aca="false">'3-Position 50m'!C39</f>
        <v>0</v>
      </c>
      <c r="C239" s="1" t="n">
        <f aca="false">'3-Position 50m'!D39</f>
        <v>0</v>
      </c>
      <c r="D239" s="1" t="n">
        <f aca="false">'3-Position 50m'!E39</f>
        <v>0</v>
      </c>
      <c r="E239" s="1" t="n">
        <f aca="false">'3-Position 50m'!F39</f>
        <v>0</v>
      </c>
      <c r="F239" s="1" t="n">
        <f aca="false">IF('3-Position 50m'!M39="",0,'3-Position 50m'!M39)</f>
        <v>0</v>
      </c>
      <c r="G239" s="1" t="n">
        <f aca="false">IF('3-Position 50m'!N39="",0,'3-Position 50m'!N39)</f>
        <v>0</v>
      </c>
      <c r="H239" s="1" t="n">
        <f aca="false">IFERROR(YEAR('3-Position 50m'!A39),"")</f>
        <v>1899</v>
      </c>
      <c r="I239" s="1" t="n">
        <f aca="false">IF(AND('3-Position 50m'!D39&lt;&gt;"",'3-Position 50m'!M39&lt;&gt;""),1,0)</f>
        <v>0</v>
      </c>
    </row>
    <row r="240" customFormat="false" ht="15" hidden="false" customHeight="true" outlineLevel="0" collapsed="false">
      <c r="A240" s="83" t="n">
        <f aca="false">'3-Position 50m'!A40</f>
        <v>0</v>
      </c>
      <c r="B240" s="1" t="n">
        <f aca="false">'3-Position 50m'!C40</f>
        <v>0</v>
      </c>
      <c r="C240" s="1" t="n">
        <f aca="false">'3-Position 50m'!D40</f>
        <v>0</v>
      </c>
      <c r="D240" s="1" t="n">
        <f aca="false">'3-Position 50m'!E40</f>
        <v>0</v>
      </c>
      <c r="E240" s="1" t="n">
        <f aca="false">'3-Position 50m'!F40</f>
        <v>0</v>
      </c>
      <c r="F240" s="1" t="n">
        <f aca="false">IF('3-Position 50m'!M40="",0,'3-Position 50m'!M40)</f>
        <v>0</v>
      </c>
      <c r="G240" s="1" t="n">
        <f aca="false">IF('3-Position 50m'!N40="",0,'3-Position 50m'!N40)</f>
        <v>0</v>
      </c>
      <c r="H240" s="1" t="n">
        <f aca="false">IFERROR(YEAR('3-Position 50m'!A40),"")</f>
        <v>1899</v>
      </c>
      <c r="I240" s="1" t="n">
        <f aca="false">IF(AND('3-Position 50m'!D40&lt;&gt;"",'3-Position 50m'!M40&lt;&gt;""),1,0)</f>
        <v>0</v>
      </c>
    </row>
    <row r="241" customFormat="false" ht="15" hidden="false" customHeight="true" outlineLevel="0" collapsed="false">
      <c r="A241" s="83" t="n">
        <f aca="false">'3-Position 50m'!A41</f>
        <v>0</v>
      </c>
      <c r="B241" s="1" t="n">
        <f aca="false">'3-Position 50m'!C41</f>
        <v>0</v>
      </c>
      <c r="C241" s="1" t="n">
        <f aca="false">'3-Position 50m'!D41</f>
        <v>0</v>
      </c>
      <c r="D241" s="1" t="n">
        <f aca="false">'3-Position 50m'!E41</f>
        <v>0</v>
      </c>
      <c r="E241" s="1" t="n">
        <f aca="false">'3-Position 50m'!F41</f>
        <v>0</v>
      </c>
      <c r="F241" s="1" t="n">
        <f aca="false">IF('3-Position 50m'!M41="",0,'3-Position 50m'!M41)</f>
        <v>0</v>
      </c>
      <c r="G241" s="1" t="n">
        <f aca="false">IF('3-Position 50m'!N41="",0,'3-Position 50m'!N41)</f>
        <v>0</v>
      </c>
      <c r="H241" s="1" t="n">
        <f aca="false">IFERROR(YEAR('3-Position 50m'!A41),"")</f>
        <v>1899</v>
      </c>
      <c r="I241" s="1" t="n">
        <f aca="false">IF(AND('3-Position 50m'!D41&lt;&gt;"",'3-Position 50m'!M41&lt;&gt;""),1,0)</f>
        <v>0</v>
      </c>
    </row>
    <row r="242" customFormat="false" ht="15" hidden="false" customHeight="true" outlineLevel="0" collapsed="false">
      <c r="A242" s="83" t="n">
        <f aca="false">'3-Position 50m'!A42</f>
        <v>0</v>
      </c>
      <c r="B242" s="1" t="n">
        <f aca="false">'3-Position 50m'!C42</f>
        <v>0</v>
      </c>
      <c r="C242" s="1" t="n">
        <f aca="false">'3-Position 50m'!D42</f>
        <v>0</v>
      </c>
      <c r="D242" s="1" t="n">
        <f aca="false">'3-Position 50m'!E42</f>
        <v>0</v>
      </c>
      <c r="E242" s="1" t="n">
        <f aca="false">'3-Position 50m'!F42</f>
        <v>0</v>
      </c>
      <c r="F242" s="1" t="n">
        <f aca="false">IF('3-Position 50m'!M42="",0,'3-Position 50m'!M42)</f>
        <v>0</v>
      </c>
      <c r="G242" s="1" t="n">
        <f aca="false">IF('3-Position 50m'!N42="",0,'3-Position 50m'!N42)</f>
        <v>0</v>
      </c>
      <c r="H242" s="1" t="n">
        <f aca="false">IFERROR(YEAR('3-Position 50m'!A42),"")</f>
        <v>1899</v>
      </c>
      <c r="I242" s="1" t="n">
        <f aca="false">IF(AND('3-Position 50m'!D42&lt;&gt;"",'3-Position 50m'!M42&lt;&gt;""),1,0)</f>
        <v>0</v>
      </c>
    </row>
    <row r="243" customFormat="false" ht="15" hidden="false" customHeight="true" outlineLevel="0" collapsed="false">
      <c r="A243" s="83" t="n">
        <f aca="false">'3-Position 50m'!A43</f>
        <v>0</v>
      </c>
      <c r="B243" s="1" t="n">
        <f aca="false">'3-Position 50m'!C43</f>
        <v>0</v>
      </c>
      <c r="C243" s="1" t="n">
        <f aca="false">'3-Position 50m'!D43</f>
        <v>0</v>
      </c>
      <c r="D243" s="1" t="n">
        <f aca="false">'3-Position 50m'!E43</f>
        <v>0</v>
      </c>
      <c r="E243" s="1" t="n">
        <f aca="false">'3-Position 50m'!F43</f>
        <v>0</v>
      </c>
      <c r="F243" s="1" t="n">
        <f aca="false">IF('3-Position 50m'!M43="",0,'3-Position 50m'!M43)</f>
        <v>0</v>
      </c>
      <c r="G243" s="1" t="n">
        <f aca="false">IF('3-Position 50m'!N43="",0,'3-Position 50m'!N43)</f>
        <v>0</v>
      </c>
      <c r="H243" s="1" t="n">
        <f aca="false">IFERROR(YEAR('3-Position 50m'!A43),"")</f>
        <v>1899</v>
      </c>
      <c r="I243" s="1" t="n">
        <f aca="false">IF(AND('3-Position 50m'!D43&lt;&gt;"",'3-Position 50m'!M43&lt;&gt;""),1,0)</f>
        <v>0</v>
      </c>
    </row>
    <row r="244" customFormat="false" ht="15" hidden="false" customHeight="true" outlineLevel="0" collapsed="false">
      <c r="A244" s="83" t="n">
        <f aca="false">'3-Position 50m'!A44</f>
        <v>0</v>
      </c>
      <c r="B244" s="1" t="n">
        <f aca="false">'3-Position 50m'!C44</f>
        <v>0</v>
      </c>
      <c r="C244" s="1" t="n">
        <f aca="false">'3-Position 50m'!D44</f>
        <v>0</v>
      </c>
      <c r="D244" s="1" t="n">
        <f aca="false">'3-Position 50m'!E44</f>
        <v>0</v>
      </c>
      <c r="E244" s="1" t="n">
        <f aca="false">'3-Position 50m'!F44</f>
        <v>0</v>
      </c>
      <c r="F244" s="1" t="n">
        <f aca="false">IF('3-Position 50m'!M44="",0,'3-Position 50m'!M44)</f>
        <v>0</v>
      </c>
      <c r="G244" s="1" t="n">
        <f aca="false">IF('3-Position 50m'!N44="",0,'3-Position 50m'!N44)</f>
        <v>0</v>
      </c>
      <c r="H244" s="1" t="n">
        <f aca="false">IFERROR(YEAR('3-Position 50m'!A44),"")</f>
        <v>1899</v>
      </c>
      <c r="I244" s="1" t="n">
        <f aca="false">IF(AND('3-Position 50m'!D44&lt;&gt;"",'3-Position 50m'!M44&lt;&gt;""),1,0)</f>
        <v>0</v>
      </c>
    </row>
    <row r="245" customFormat="false" ht="15" hidden="false" customHeight="true" outlineLevel="0" collapsed="false">
      <c r="A245" s="83" t="n">
        <f aca="false">'3-Position 50m'!A45</f>
        <v>0</v>
      </c>
      <c r="B245" s="1" t="n">
        <f aca="false">'3-Position 50m'!C45</f>
        <v>0</v>
      </c>
      <c r="C245" s="1" t="n">
        <f aca="false">'3-Position 50m'!D45</f>
        <v>0</v>
      </c>
      <c r="D245" s="1" t="n">
        <f aca="false">'3-Position 50m'!E45</f>
        <v>0</v>
      </c>
      <c r="E245" s="1" t="n">
        <f aca="false">'3-Position 50m'!F45</f>
        <v>0</v>
      </c>
      <c r="F245" s="1" t="n">
        <f aca="false">IF('3-Position 50m'!M45="",0,'3-Position 50m'!M45)</f>
        <v>0</v>
      </c>
      <c r="G245" s="1" t="n">
        <f aca="false">IF('3-Position 50m'!N45="",0,'3-Position 50m'!N45)</f>
        <v>0</v>
      </c>
      <c r="H245" s="1" t="n">
        <f aca="false">IFERROR(YEAR('3-Position 50m'!A45),"")</f>
        <v>1899</v>
      </c>
      <c r="I245" s="1" t="n">
        <f aca="false">IF(AND('3-Position 50m'!D45&lt;&gt;"",'3-Position 50m'!M45&lt;&gt;""),1,0)</f>
        <v>0</v>
      </c>
    </row>
    <row r="246" customFormat="false" ht="15" hidden="false" customHeight="true" outlineLevel="0" collapsed="false">
      <c r="A246" s="83" t="n">
        <f aca="false">'3-Position 50m'!A46</f>
        <v>0</v>
      </c>
      <c r="B246" s="1" t="n">
        <f aca="false">'3-Position 50m'!C46</f>
        <v>0</v>
      </c>
      <c r="C246" s="1" t="n">
        <f aca="false">'3-Position 50m'!D46</f>
        <v>0</v>
      </c>
      <c r="D246" s="1" t="n">
        <f aca="false">'3-Position 50m'!E46</f>
        <v>0</v>
      </c>
      <c r="E246" s="1" t="n">
        <f aca="false">'3-Position 50m'!F46</f>
        <v>0</v>
      </c>
      <c r="F246" s="1" t="n">
        <f aca="false">IF('3-Position 50m'!M46="",0,'3-Position 50m'!M46)</f>
        <v>0</v>
      </c>
      <c r="G246" s="1" t="n">
        <f aca="false">IF('3-Position 50m'!N46="",0,'3-Position 50m'!N46)</f>
        <v>0</v>
      </c>
      <c r="H246" s="1" t="n">
        <f aca="false">IFERROR(YEAR('3-Position 50m'!A46),"")</f>
        <v>1899</v>
      </c>
      <c r="I246" s="1" t="n">
        <f aca="false">IF(AND('3-Position 50m'!D46&lt;&gt;"",'3-Position 50m'!M46&lt;&gt;""),1,0)</f>
        <v>0</v>
      </c>
    </row>
    <row r="247" customFormat="false" ht="15" hidden="false" customHeight="true" outlineLevel="0" collapsed="false">
      <c r="A247" s="83" t="n">
        <f aca="false">'3-Position 50m'!A47</f>
        <v>0</v>
      </c>
      <c r="B247" s="1" t="n">
        <f aca="false">'3-Position 50m'!C47</f>
        <v>0</v>
      </c>
      <c r="C247" s="1" t="n">
        <f aca="false">'3-Position 50m'!D47</f>
        <v>0</v>
      </c>
      <c r="D247" s="1" t="n">
        <f aca="false">'3-Position 50m'!E47</f>
        <v>0</v>
      </c>
      <c r="E247" s="1" t="n">
        <f aca="false">'3-Position 50m'!F47</f>
        <v>0</v>
      </c>
      <c r="F247" s="1" t="n">
        <f aca="false">IF('3-Position 50m'!M47="",0,'3-Position 50m'!M47)</f>
        <v>0</v>
      </c>
      <c r="G247" s="1" t="n">
        <f aca="false">IF('3-Position 50m'!N47="",0,'3-Position 50m'!N47)</f>
        <v>0</v>
      </c>
      <c r="H247" s="1" t="n">
        <f aca="false">IFERROR(YEAR('3-Position 50m'!A47),"")</f>
        <v>1899</v>
      </c>
      <c r="I247" s="1" t="n">
        <f aca="false">IF(AND('3-Position 50m'!D47&lt;&gt;"",'3-Position 50m'!M47&lt;&gt;""),1,0)</f>
        <v>0</v>
      </c>
    </row>
    <row r="248" customFormat="false" ht="15" hidden="false" customHeight="true" outlineLevel="0" collapsed="false">
      <c r="A248" s="83" t="n">
        <f aca="false">'3-Position 50m'!A48</f>
        <v>0</v>
      </c>
      <c r="B248" s="1" t="n">
        <f aca="false">'3-Position 50m'!C48</f>
        <v>0</v>
      </c>
      <c r="C248" s="1" t="n">
        <f aca="false">'3-Position 50m'!D48</f>
        <v>0</v>
      </c>
      <c r="D248" s="1" t="n">
        <f aca="false">'3-Position 50m'!E48</f>
        <v>0</v>
      </c>
      <c r="E248" s="1" t="n">
        <f aca="false">'3-Position 50m'!F48</f>
        <v>0</v>
      </c>
      <c r="F248" s="1" t="n">
        <f aca="false">IF('3-Position 50m'!M48="",0,'3-Position 50m'!M48)</f>
        <v>0</v>
      </c>
      <c r="G248" s="1" t="n">
        <f aca="false">IF('3-Position 50m'!N48="",0,'3-Position 50m'!N48)</f>
        <v>0</v>
      </c>
      <c r="H248" s="1" t="n">
        <f aca="false">IFERROR(YEAR('3-Position 50m'!A48),"")</f>
        <v>1899</v>
      </c>
      <c r="I248" s="1" t="n">
        <f aca="false">IF(AND('3-Position 50m'!D48&lt;&gt;"",'3-Position 50m'!M48&lt;&gt;""),1,0)</f>
        <v>0</v>
      </c>
    </row>
    <row r="249" customFormat="false" ht="15" hidden="false" customHeight="true" outlineLevel="0" collapsed="false">
      <c r="A249" s="83" t="n">
        <f aca="false">'3-Position 50m'!A49</f>
        <v>0</v>
      </c>
      <c r="B249" s="1" t="n">
        <f aca="false">'3-Position 50m'!C49</f>
        <v>0</v>
      </c>
      <c r="C249" s="1" t="n">
        <f aca="false">'3-Position 50m'!D49</f>
        <v>0</v>
      </c>
      <c r="D249" s="1" t="n">
        <f aca="false">'3-Position 50m'!E49</f>
        <v>0</v>
      </c>
      <c r="E249" s="1" t="n">
        <f aca="false">'3-Position 50m'!F49</f>
        <v>0</v>
      </c>
      <c r="F249" s="1" t="n">
        <f aca="false">IF('3-Position 50m'!M49="",0,'3-Position 50m'!M49)</f>
        <v>0</v>
      </c>
      <c r="G249" s="1" t="n">
        <f aca="false">IF('3-Position 50m'!N49="",0,'3-Position 50m'!N49)</f>
        <v>0</v>
      </c>
      <c r="H249" s="1" t="n">
        <f aca="false">IFERROR(YEAR('3-Position 50m'!A49),"")</f>
        <v>1899</v>
      </c>
      <c r="I249" s="1" t="n">
        <f aca="false">IF(AND('3-Position 50m'!D49&lt;&gt;"",'3-Position 50m'!M49&lt;&gt;""),1,0)</f>
        <v>0</v>
      </c>
    </row>
    <row r="250" customFormat="false" ht="15" hidden="false" customHeight="true" outlineLevel="0" collapsed="false">
      <c r="A250" s="83" t="n">
        <f aca="false">'3-Position 50m'!A50</f>
        <v>0</v>
      </c>
      <c r="B250" s="1" t="n">
        <f aca="false">'3-Position 50m'!C50</f>
        <v>0</v>
      </c>
      <c r="C250" s="1" t="n">
        <f aca="false">'3-Position 50m'!D50</f>
        <v>0</v>
      </c>
      <c r="D250" s="1" t="n">
        <f aca="false">'3-Position 50m'!E50</f>
        <v>0</v>
      </c>
      <c r="E250" s="1" t="n">
        <f aca="false">'3-Position 50m'!F50</f>
        <v>0</v>
      </c>
      <c r="F250" s="1" t="n">
        <f aca="false">IF('3-Position 50m'!M50="",0,'3-Position 50m'!M50)</f>
        <v>0</v>
      </c>
      <c r="G250" s="1" t="n">
        <f aca="false">IF('3-Position 50m'!N50="",0,'3-Position 50m'!N50)</f>
        <v>0</v>
      </c>
      <c r="H250" s="1" t="n">
        <f aca="false">IFERROR(YEAR('3-Position 50m'!A50),"")</f>
        <v>1899</v>
      </c>
      <c r="I250" s="1" t="n">
        <f aca="false">IF(AND('3-Position 50m'!D50&lt;&gt;"",'3-Position 50m'!M50&lt;&gt;""),1,0)</f>
        <v>0</v>
      </c>
    </row>
    <row r="251" customFormat="false" ht="15" hidden="false" customHeight="true" outlineLevel="0" collapsed="false">
      <c r="A251" s="83" t="n">
        <f aca="false">'3-Position 50m'!A51</f>
        <v>0</v>
      </c>
      <c r="B251" s="1" t="n">
        <f aca="false">'3-Position 50m'!C51</f>
        <v>0</v>
      </c>
      <c r="C251" s="1" t="n">
        <f aca="false">'3-Position 50m'!D51</f>
        <v>0</v>
      </c>
      <c r="D251" s="1" t="n">
        <f aca="false">'3-Position 50m'!E51</f>
        <v>0</v>
      </c>
      <c r="E251" s="1" t="n">
        <f aca="false">'3-Position 50m'!F51</f>
        <v>0</v>
      </c>
      <c r="F251" s="1" t="n">
        <f aca="false">IF('3-Position 50m'!M51="",0,'3-Position 50m'!M51)</f>
        <v>0</v>
      </c>
      <c r="G251" s="1" t="n">
        <f aca="false">IF('3-Position 50m'!N51="",0,'3-Position 50m'!N51)</f>
        <v>0</v>
      </c>
      <c r="H251" s="1" t="n">
        <f aca="false">IFERROR(YEAR('3-Position 50m'!A51),"")</f>
        <v>1899</v>
      </c>
      <c r="I251" s="1" t="n">
        <f aca="false">IF(AND('3-Position 50m'!D51&lt;&gt;"",'3-Position 50m'!M51&lt;&gt;""),1,0)</f>
        <v>0</v>
      </c>
    </row>
    <row r="252" customFormat="false" ht="15" hidden="false" customHeight="true" outlineLevel="0" collapsed="false">
      <c r="A252" s="83" t="n">
        <f aca="false">'3-Position 50m'!A52</f>
        <v>0</v>
      </c>
      <c r="B252" s="1" t="n">
        <f aca="false">'3-Position 50m'!C52</f>
        <v>0</v>
      </c>
      <c r="C252" s="1" t="n">
        <f aca="false">'3-Position 50m'!D52</f>
        <v>0</v>
      </c>
      <c r="D252" s="1" t="n">
        <f aca="false">'3-Position 50m'!E52</f>
        <v>0</v>
      </c>
      <c r="E252" s="1" t="n">
        <f aca="false">'3-Position 50m'!F52</f>
        <v>0</v>
      </c>
      <c r="F252" s="1" t="n">
        <f aca="false">IF('3-Position 50m'!M52="",0,'3-Position 50m'!M52)</f>
        <v>0</v>
      </c>
      <c r="G252" s="1" t="n">
        <f aca="false">IF('3-Position 50m'!N52="",0,'3-Position 50m'!N52)</f>
        <v>0</v>
      </c>
      <c r="H252" s="1" t="n">
        <f aca="false">IFERROR(YEAR('3-Position 50m'!A52),"")</f>
        <v>1899</v>
      </c>
      <c r="I252" s="1" t="n">
        <f aca="false">IF(AND('3-Position 50m'!D52&lt;&gt;"",'3-Position 50m'!M52&lt;&gt;""),1,0)</f>
        <v>0</v>
      </c>
    </row>
    <row r="253" customFormat="false" ht="15" hidden="false" customHeight="true" outlineLevel="0" collapsed="false">
      <c r="A253" s="83" t="n">
        <f aca="false">'3-Position 50m'!A53</f>
        <v>0</v>
      </c>
      <c r="B253" s="1" t="n">
        <f aca="false">'3-Position 50m'!C53</f>
        <v>0</v>
      </c>
      <c r="C253" s="1" t="n">
        <f aca="false">'3-Position 50m'!D53</f>
        <v>0</v>
      </c>
      <c r="D253" s="1" t="n">
        <f aca="false">'3-Position 50m'!E53</f>
        <v>0</v>
      </c>
      <c r="E253" s="1" t="n">
        <f aca="false">'3-Position 50m'!F53</f>
        <v>0</v>
      </c>
      <c r="F253" s="1" t="n">
        <f aca="false">IF('3-Position 50m'!M53="",0,'3-Position 50m'!M53)</f>
        <v>0</v>
      </c>
      <c r="G253" s="1" t="n">
        <f aca="false">IF('3-Position 50m'!N53="",0,'3-Position 50m'!N53)</f>
        <v>0</v>
      </c>
      <c r="H253" s="1" t="n">
        <f aca="false">IFERROR(YEAR('3-Position 50m'!A53),"")</f>
        <v>1899</v>
      </c>
      <c r="I253" s="1" t="n">
        <f aca="false">IF(AND('3-Position 50m'!D53&lt;&gt;"",'3-Position 50m'!M53&lt;&gt;""),1,0)</f>
        <v>0</v>
      </c>
    </row>
    <row r="254" customFormat="false" ht="15" hidden="false" customHeight="true" outlineLevel="0" collapsed="false">
      <c r="A254" s="83" t="n">
        <f aca="false">'3-Position 50m'!A54</f>
        <v>0</v>
      </c>
      <c r="B254" s="1" t="n">
        <f aca="false">'3-Position 50m'!C54</f>
        <v>0</v>
      </c>
      <c r="C254" s="1" t="n">
        <f aca="false">'3-Position 50m'!D54</f>
        <v>0</v>
      </c>
      <c r="D254" s="1" t="n">
        <f aca="false">'3-Position 50m'!E54</f>
        <v>0</v>
      </c>
      <c r="E254" s="1" t="n">
        <f aca="false">'3-Position 50m'!F54</f>
        <v>0</v>
      </c>
      <c r="F254" s="1" t="n">
        <f aca="false">IF('3-Position 50m'!M54="",0,'3-Position 50m'!M54)</f>
        <v>0</v>
      </c>
      <c r="G254" s="1" t="n">
        <f aca="false">IF('3-Position 50m'!N54="",0,'3-Position 50m'!N54)</f>
        <v>0</v>
      </c>
      <c r="H254" s="1" t="n">
        <f aca="false">IFERROR(YEAR('3-Position 50m'!A54),"")</f>
        <v>1899</v>
      </c>
      <c r="I254" s="1" t="n">
        <f aca="false">IF(AND('3-Position 50m'!D54&lt;&gt;"",'3-Position 50m'!M54&lt;&gt;""),1,0)</f>
        <v>0</v>
      </c>
    </row>
    <row r="255" customFormat="false" ht="15" hidden="false" customHeight="true" outlineLevel="0" collapsed="false">
      <c r="A255" s="83" t="n">
        <f aca="false">'3-Position 50m'!A55</f>
        <v>0</v>
      </c>
      <c r="B255" s="1" t="n">
        <f aca="false">'3-Position 50m'!C55</f>
        <v>0</v>
      </c>
      <c r="C255" s="1" t="n">
        <f aca="false">'3-Position 50m'!D55</f>
        <v>0</v>
      </c>
      <c r="D255" s="1" t="n">
        <f aca="false">'3-Position 50m'!E55</f>
        <v>0</v>
      </c>
      <c r="E255" s="1" t="n">
        <f aca="false">'3-Position 50m'!F55</f>
        <v>0</v>
      </c>
      <c r="F255" s="1" t="n">
        <f aca="false">IF('3-Position 50m'!M55="",0,'3-Position 50m'!M55)</f>
        <v>0</v>
      </c>
      <c r="G255" s="1" t="n">
        <f aca="false">IF('3-Position 50m'!N55="",0,'3-Position 50m'!N55)</f>
        <v>0</v>
      </c>
      <c r="H255" s="1" t="n">
        <f aca="false">IFERROR(YEAR('3-Position 50m'!A55),"")</f>
        <v>1899</v>
      </c>
      <c r="I255" s="1" t="n">
        <f aca="false">IF(AND('3-Position 50m'!D55&lt;&gt;"",'3-Position 50m'!M55&lt;&gt;""),1,0)</f>
        <v>0</v>
      </c>
    </row>
    <row r="256" customFormat="false" ht="15" hidden="false" customHeight="true" outlineLevel="0" collapsed="false">
      <c r="A256" s="83" t="n">
        <f aca="false">'3-Position 50m'!A56</f>
        <v>0</v>
      </c>
      <c r="B256" s="1" t="n">
        <f aca="false">'3-Position 50m'!C56</f>
        <v>0</v>
      </c>
      <c r="C256" s="1" t="n">
        <f aca="false">'3-Position 50m'!D56</f>
        <v>0</v>
      </c>
      <c r="D256" s="1" t="n">
        <f aca="false">'3-Position 50m'!E56</f>
        <v>0</v>
      </c>
      <c r="E256" s="1" t="n">
        <f aca="false">'3-Position 50m'!F56</f>
        <v>0</v>
      </c>
      <c r="F256" s="1" t="n">
        <f aca="false">IF('3-Position 50m'!M56="",0,'3-Position 50m'!M56)</f>
        <v>0</v>
      </c>
      <c r="G256" s="1" t="n">
        <f aca="false">IF('3-Position 50m'!N56="",0,'3-Position 50m'!N56)</f>
        <v>0</v>
      </c>
      <c r="H256" s="1" t="n">
        <f aca="false">IFERROR(YEAR('3-Position 50m'!A56),"")</f>
        <v>1899</v>
      </c>
      <c r="I256" s="1" t="n">
        <f aca="false">IF(AND('3-Position 50m'!D56&lt;&gt;"",'3-Position 50m'!M56&lt;&gt;""),1,0)</f>
        <v>0</v>
      </c>
    </row>
    <row r="257" customFormat="false" ht="15" hidden="false" customHeight="true" outlineLevel="0" collapsed="false">
      <c r="A257" s="83" t="n">
        <f aca="false">'3-Position 50m'!A57</f>
        <v>0</v>
      </c>
      <c r="B257" s="1" t="n">
        <f aca="false">'3-Position 50m'!C57</f>
        <v>0</v>
      </c>
      <c r="C257" s="1" t="n">
        <f aca="false">'3-Position 50m'!D57</f>
        <v>0</v>
      </c>
      <c r="D257" s="1" t="n">
        <f aca="false">'3-Position 50m'!E57</f>
        <v>0</v>
      </c>
      <c r="E257" s="1" t="n">
        <f aca="false">'3-Position 50m'!F57</f>
        <v>0</v>
      </c>
      <c r="F257" s="1" t="n">
        <f aca="false">IF('3-Position 50m'!M57="",0,'3-Position 50m'!M57)</f>
        <v>0</v>
      </c>
      <c r="G257" s="1" t="n">
        <f aca="false">IF('3-Position 50m'!N57="",0,'3-Position 50m'!N57)</f>
        <v>0</v>
      </c>
      <c r="H257" s="1" t="n">
        <f aca="false">IFERROR(YEAR('3-Position 50m'!A57),"")</f>
        <v>1899</v>
      </c>
      <c r="I257" s="1" t="n">
        <f aca="false">IF(AND('3-Position 50m'!D57&lt;&gt;"",'3-Position 50m'!M57&lt;&gt;""),1,0)</f>
        <v>0</v>
      </c>
    </row>
    <row r="258" customFormat="false" ht="15" hidden="false" customHeight="true" outlineLevel="0" collapsed="false">
      <c r="A258" s="83" t="n">
        <f aca="false">'3-Position 50m'!A58</f>
        <v>0</v>
      </c>
      <c r="B258" s="1" t="n">
        <f aca="false">'3-Position 50m'!C58</f>
        <v>0</v>
      </c>
      <c r="C258" s="1" t="n">
        <f aca="false">'3-Position 50m'!D58</f>
        <v>0</v>
      </c>
      <c r="D258" s="1" t="n">
        <f aca="false">'3-Position 50m'!E58</f>
        <v>0</v>
      </c>
      <c r="E258" s="1" t="n">
        <f aca="false">'3-Position 50m'!F58</f>
        <v>0</v>
      </c>
      <c r="F258" s="1" t="n">
        <f aca="false">IF('3-Position 50m'!M58="",0,'3-Position 50m'!M58)</f>
        <v>0</v>
      </c>
      <c r="G258" s="1" t="n">
        <f aca="false">IF('3-Position 50m'!N58="",0,'3-Position 50m'!N58)</f>
        <v>0</v>
      </c>
      <c r="H258" s="1" t="n">
        <f aca="false">IFERROR(YEAR('3-Position 50m'!A58),"")</f>
        <v>1899</v>
      </c>
      <c r="I258" s="1" t="n">
        <f aca="false">IF(AND('3-Position 50m'!D58&lt;&gt;"",'3-Position 50m'!M58&lt;&gt;""),1,0)</f>
        <v>0</v>
      </c>
    </row>
    <row r="259" customFormat="false" ht="15" hidden="false" customHeight="true" outlineLevel="0" collapsed="false">
      <c r="A259" s="83" t="n">
        <f aca="false">'3-Position 50m'!A59</f>
        <v>0</v>
      </c>
      <c r="B259" s="1" t="n">
        <f aca="false">'3-Position 50m'!C59</f>
        <v>0</v>
      </c>
      <c r="C259" s="1" t="n">
        <f aca="false">'3-Position 50m'!D59</f>
        <v>0</v>
      </c>
      <c r="D259" s="1" t="n">
        <f aca="false">'3-Position 50m'!E59</f>
        <v>0</v>
      </c>
      <c r="E259" s="1" t="n">
        <f aca="false">'3-Position 50m'!F59</f>
        <v>0</v>
      </c>
      <c r="F259" s="1" t="n">
        <f aca="false">IF('3-Position 50m'!M59="",0,'3-Position 50m'!M59)</f>
        <v>0</v>
      </c>
      <c r="G259" s="1" t="n">
        <f aca="false">IF('3-Position 50m'!N59="",0,'3-Position 50m'!N59)</f>
        <v>0</v>
      </c>
      <c r="H259" s="1" t="n">
        <f aca="false">IFERROR(YEAR('3-Position 50m'!A59),"")</f>
        <v>1899</v>
      </c>
      <c r="I259" s="1" t="n">
        <f aca="false">IF(AND('3-Position 50m'!D59&lt;&gt;"",'3-Position 50m'!M59&lt;&gt;""),1,0)</f>
        <v>0</v>
      </c>
    </row>
    <row r="260" customFormat="false" ht="15" hidden="false" customHeight="true" outlineLevel="0" collapsed="false">
      <c r="A260" s="83" t="n">
        <f aca="false">'3-Position 50m'!A60</f>
        <v>0</v>
      </c>
      <c r="B260" s="1" t="n">
        <f aca="false">'3-Position 50m'!C60</f>
        <v>0</v>
      </c>
      <c r="C260" s="1" t="n">
        <f aca="false">'3-Position 50m'!D60</f>
        <v>0</v>
      </c>
      <c r="D260" s="1" t="n">
        <f aca="false">'3-Position 50m'!E60</f>
        <v>0</v>
      </c>
      <c r="E260" s="1" t="n">
        <f aca="false">'3-Position 50m'!F60</f>
        <v>0</v>
      </c>
      <c r="F260" s="1" t="n">
        <f aca="false">IF('3-Position 50m'!M60="",0,'3-Position 50m'!M60)</f>
        <v>0</v>
      </c>
      <c r="G260" s="1" t="n">
        <f aca="false">IF('3-Position 50m'!N60="",0,'3-Position 50m'!N60)</f>
        <v>0</v>
      </c>
      <c r="H260" s="1" t="n">
        <f aca="false">IFERROR(YEAR('3-Position 50m'!A60),"")</f>
        <v>1899</v>
      </c>
      <c r="I260" s="1" t="n">
        <f aca="false">IF(AND('3-Position 50m'!D60&lt;&gt;"",'3-Position 50m'!M60&lt;&gt;""),1,0)</f>
        <v>0</v>
      </c>
    </row>
    <row r="261" customFormat="false" ht="15" hidden="false" customHeight="true" outlineLevel="0" collapsed="false">
      <c r="A261" s="83" t="n">
        <f aca="false">'3-Position 50m'!A61</f>
        <v>0</v>
      </c>
      <c r="B261" s="1" t="n">
        <f aca="false">'3-Position 50m'!C61</f>
        <v>0</v>
      </c>
      <c r="C261" s="1" t="n">
        <f aca="false">'3-Position 50m'!D61</f>
        <v>0</v>
      </c>
      <c r="D261" s="1" t="n">
        <f aca="false">'3-Position 50m'!E61</f>
        <v>0</v>
      </c>
      <c r="E261" s="1" t="n">
        <f aca="false">'3-Position 50m'!F61</f>
        <v>0</v>
      </c>
      <c r="F261" s="1" t="n">
        <f aca="false">IF('3-Position 50m'!M61="",0,'3-Position 50m'!M61)</f>
        <v>0</v>
      </c>
      <c r="G261" s="1" t="n">
        <f aca="false">IF('3-Position 50m'!N61="",0,'3-Position 50m'!N61)</f>
        <v>0</v>
      </c>
      <c r="H261" s="1" t="n">
        <f aca="false">IFERROR(YEAR('3-Position 50m'!A61),"")</f>
        <v>1899</v>
      </c>
      <c r="I261" s="1" t="n">
        <f aca="false">IF(AND('3-Position 50m'!D61&lt;&gt;"",'3-Position 50m'!M61&lt;&gt;""),1,0)</f>
        <v>0</v>
      </c>
    </row>
    <row r="262" customFormat="false" ht="15" hidden="false" customHeight="true" outlineLevel="0" collapsed="false">
      <c r="A262" s="83" t="n">
        <f aca="false">'3-Position 50m'!A62</f>
        <v>0</v>
      </c>
      <c r="B262" s="1" t="n">
        <f aca="false">'3-Position 50m'!C62</f>
        <v>0</v>
      </c>
      <c r="C262" s="1" t="n">
        <f aca="false">'3-Position 50m'!D62</f>
        <v>0</v>
      </c>
      <c r="D262" s="1" t="n">
        <f aca="false">'3-Position 50m'!E62</f>
        <v>0</v>
      </c>
      <c r="E262" s="1" t="n">
        <f aca="false">'3-Position 50m'!F62</f>
        <v>0</v>
      </c>
      <c r="F262" s="1" t="n">
        <f aca="false">IF('3-Position 50m'!M62="",0,'3-Position 50m'!M62)</f>
        <v>0</v>
      </c>
      <c r="G262" s="1" t="n">
        <f aca="false">IF('3-Position 50m'!N62="",0,'3-Position 50m'!N62)</f>
        <v>0</v>
      </c>
      <c r="H262" s="1" t="n">
        <f aca="false">IFERROR(YEAR('3-Position 50m'!A62),"")</f>
        <v>1899</v>
      </c>
      <c r="I262" s="1" t="n">
        <f aca="false">IF(AND('3-Position 50m'!D62&lt;&gt;"",'3-Position 50m'!M62&lt;&gt;""),1,0)</f>
        <v>0</v>
      </c>
    </row>
    <row r="263" customFormat="false" ht="15" hidden="false" customHeight="true" outlineLevel="0" collapsed="false">
      <c r="A263" s="83" t="n">
        <f aca="false">'3-Position 50m'!A63</f>
        <v>0</v>
      </c>
      <c r="B263" s="1" t="n">
        <f aca="false">'3-Position 50m'!C63</f>
        <v>0</v>
      </c>
      <c r="C263" s="1" t="n">
        <f aca="false">'3-Position 50m'!D63</f>
        <v>0</v>
      </c>
      <c r="D263" s="1" t="n">
        <f aca="false">'3-Position 50m'!E63</f>
        <v>0</v>
      </c>
      <c r="E263" s="1" t="n">
        <f aca="false">'3-Position 50m'!F63</f>
        <v>0</v>
      </c>
      <c r="F263" s="1" t="n">
        <f aca="false">IF('3-Position 50m'!M63="",0,'3-Position 50m'!M63)</f>
        <v>0</v>
      </c>
      <c r="G263" s="1" t="n">
        <f aca="false">IF('3-Position 50m'!N63="",0,'3-Position 50m'!N63)</f>
        <v>0</v>
      </c>
      <c r="H263" s="1" t="n">
        <f aca="false">IFERROR(YEAR('3-Position 50m'!A63),"")</f>
        <v>1899</v>
      </c>
      <c r="I263" s="1" t="n">
        <f aca="false">IF(AND('3-Position 50m'!D63&lt;&gt;"",'3-Position 50m'!M63&lt;&gt;""),1,0)</f>
        <v>0</v>
      </c>
    </row>
    <row r="264" customFormat="false" ht="15" hidden="false" customHeight="true" outlineLevel="0" collapsed="false">
      <c r="A264" s="83" t="n">
        <f aca="false">'3-Position 50m'!A64</f>
        <v>0</v>
      </c>
      <c r="B264" s="1" t="n">
        <f aca="false">'3-Position 50m'!C64</f>
        <v>0</v>
      </c>
      <c r="C264" s="1" t="n">
        <f aca="false">'3-Position 50m'!D64</f>
        <v>0</v>
      </c>
      <c r="D264" s="1" t="n">
        <f aca="false">'3-Position 50m'!E64</f>
        <v>0</v>
      </c>
      <c r="E264" s="1" t="n">
        <f aca="false">'3-Position 50m'!F64</f>
        <v>0</v>
      </c>
      <c r="F264" s="1" t="n">
        <f aca="false">IF('3-Position 50m'!M64="",0,'3-Position 50m'!M64)</f>
        <v>0</v>
      </c>
      <c r="G264" s="1" t="n">
        <f aca="false">IF('3-Position 50m'!N64="",0,'3-Position 50m'!N64)</f>
        <v>0</v>
      </c>
      <c r="H264" s="1" t="n">
        <f aca="false">IFERROR(YEAR('3-Position 50m'!A64),"")</f>
        <v>1899</v>
      </c>
      <c r="I264" s="1" t="n">
        <f aca="false">IF(AND('3-Position 50m'!D64&lt;&gt;"",'3-Position 50m'!M64&lt;&gt;""),1,0)</f>
        <v>0</v>
      </c>
    </row>
    <row r="265" customFormat="false" ht="15" hidden="false" customHeight="true" outlineLevel="0" collapsed="false">
      <c r="A265" s="83" t="n">
        <f aca="false">'3-Position 50m'!A65</f>
        <v>0</v>
      </c>
      <c r="B265" s="1" t="n">
        <f aca="false">'3-Position 50m'!C65</f>
        <v>0</v>
      </c>
      <c r="C265" s="1" t="n">
        <f aca="false">'3-Position 50m'!D65</f>
        <v>0</v>
      </c>
      <c r="D265" s="1" t="n">
        <f aca="false">'3-Position 50m'!E65</f>
        <v>0</v>
      </c>
      <c r="E265" s="1" t="n">
        <f aca="false">'3-Position 50m'!F65</f>
        <v>0</v>
      </c>
      <c r="F265" s="1" t="n">
        <f aca="false">IF('3-Position 50m'!M65="",0,'3-Position 50m'!M65)</f>
        <v>0</v>
      </c>
      <c r="G265" s="1" t="n">
        <f aca="false">IF('3-Position 50m'!N65="",0,'3-Position 50m'!N65)</f>
        <v>0</v>
      </c>
      <c r="H265" s="1" t="n">
        <f aca="false">IFERROR(YEAR('3-Position 50m'!A65),"")</f>
        <v>1899</v>
      </c>
      <c r="I265" s="1" t="n">
        <f aca="false">IF(AND('3-Position 50m'!D65&lt;&gt;"",'3-Position 50m'!M65&lt;&gt;""),1,0)</f>
        <v>0</v>
      </c>
    </row>
    <row r="266" customFormat="false" ht="15" hidden="false" customHeight="true" outlineLevel="0" collapsed="false">
      <c r="A266" s="83" t="n">
        <f aca="false">'3-Position 50m'!A66</f>
        <v>0</v>
      </c>
      <c r="B266" s="1" t="n">
        <f aca="false">'3-Position 50m'!C66</f>
        <v>0</v>
      </c>
      <c r="C266" s="1" t="n">
        <f aca="false">'3-Position 50m'!D66</f>
        <v>0</v>
      </c>
      <c r="D266" s="1" t="n">
        <f aca="false">'3-Position 50m'!E66</f>
        <v>0</v>
      </c>
      <c r="E266" s="1" t="n">
        <f aca="false">'3-Position 50m'!F66</f>
        <v>0</v>
      </c>
      <c r="F266" s="1" t="n">
        <f aca="false">IF('3-Position 50m'!M66="",0,'3-Position 50m'!M66)</f>
        <v>0</v>
      </c>
      <c r="G266" s="1" t="n">
        <f aca="false">IF('3-Position 50m'!N66="",0,'3-Position 50m'!N66)</f>
        <v>0</v>
      </c>
      <c r="H266" s="1" t="n">
        <f aca="false">IFERROR(YEAR('3-Position 50m'!A66),"")</f>
        <v>1899</v>
      </c>
      <c r="I266" s="1" t="n">
        <f aca="false">IF(AND('3-Position 50m'!D66&lt;&gt;"",'3-Position 50m'!M66&lt;&gt;""),1,0)</f>
        <v>0</v>
      </c>
    </row>
    <row r="267" customFormat="false" ht="15" hidden="false" customHeight="true" outlineLevel="0" collapsed="false">
      <c r="A267" s="83" t="n">
        <f aca="false">'3-Position 50m'!A67</f>
        <v>0</v>
      </c>
      <c r="B267" s="1" t="n">
        <f aca="false">'3-Position 50m'!C67</f>
        <v>0</v>
      </c>
      <c r="C267" s="1" t="n">
        <f aca="false">'3-Position 50m'!D67</f>
        <v>0</v>
      </c>
      <c r="D267" s="1" t="n">
        <f aca="false">'3-Position 50m'!E67</f>
        <v>0</v>
      </c>
      <c r="E267" s="1" t="n">
        <f aca="false">'3-Position 50m'!F67</f>
        <v>0</v>
      </c>
      <c r="F267" s="1" t="n">
        <f aca="false">IF('3-Position 50m'!M67="",0,'3-Position 50m'!M67)</f>
        <v>0</v>
      </c>
      <c r="G267" s="1" t="n">
        <f aca="false">IF('3-Position 50m'!N67="",0,'3-Position 50m'!N67)</f>
        <v>0</v>
      </c>
      <c r="H267" s="1" t="n">
        <f aca="false">IFERROR(YEAR('3-Position 50m'!A67),"")</f>
        <v>1899</v>
      </c>
      <c r="I267" s="1" t="n">
        <f aca="false">IF(AND('3-Position 50m'!D67&lt;&gt;"",'3-Position 50m'!M67&lt;&gt;""),1,0)</f>
        <v>0</v>
      </c>
    </row>
    <row r="268" customFormat="false" ht="15" hidden="false" customHeight="true" outlineLevel="0" collapsed="false">
      <c r="A268" s="83" t="n">
        <f aca="false">'3-Position 50m'!A68</f>
        <v>0</v>
      </c>
      <c r="B268" s="1" t="n">
        <f aca="false">'3-Position 50m'!C68</f>
        <v>0</v>
      </c>
      <c r="C268" s="1" t="n">
        <f aca="false">'3-Position 50m'!D68</f>
        <v>0</v>
      </c>
      <c r="D268" s="1" t="n">
        <f aca="false">'3-Position 50m'!E68</f>
        <v>0</v>
      </c>
      <c r="E268" s="1" t="n">
        <f aca="false">'3-Position 50m'!F68</f>
        <v>0</v>
      </c>
      <c r="F268" s="1" t="n">
        <f aca="false">IF('3-Position 50m'!M68="",0,'3-Position 50m'!M68)</f>
        <v>0</v>
      </c>
      <c r="G268" s="1" t="n">
        <f aca="false">IF('3-Position 50m'!N68="",0,'3-Position 50m'!N68)</f>
        <v>0</v>
      </c>
      <c r="H268" s="1" t="n">
        <f aca="false">IFERROR(YEAR('3-Position 50m'!A68),"")</f>
        <v>1899</v>
      </c>
      <c r="I268" s="1" t="n">
        <f aca="false">IF(AND('3-Position 50m'!D68&lt;&gt;"",'3-Position 50m'!M68&lt;&gt;""),1,0)</f>
        <v>0</v>
      </c>
    </row>
    <row r="269" customFormat="false" ht="15" hidden="false" customHeight="true" outlineLevel="0" collapsed="false">
      <c r="A269" s="83" t="n">
        <f aca="false">'3-Position 50m'!A69</f>
        <v>0</v>
      </c>
      <c r="B269" s="1" t="n">
        <f aca="false">'3-Position 50m'!C69</f>
        <v>0</v>
      </c>
      <c r="C269" s="1" t="n">
        <f aca="false">'3-Position 50m'!D69</f>
        <v>0</v>
      </c>
      <c r="D269" s="1" t="n">
        <f aca="false">'3-Position 50m'!E69</f>
        <v>0</v>
      </c>
      <c r="E269" s="1" t="n">
        <f aca="false">'3-Position 50m'!F69</f>
        <v>0</v>
      </c>
      <c r="F269" s="1" t="n">
        <f aca="false">IF('3-Position 50m'!M69="",0,'3-Position 50m'!M69)</f>
        <v>0</v>
      </c>
      <c r="G269" s="1" t="n">
        <f aca="false">IF('3-Position 50m'!N69="",0,'3-Position 50m'!N69)</f>
        <v>0</v>
      </c>
      <c r="H269" s="1" t="n">
        <f aca="false">IFERROR(YEAR('3-Position 50m'!A69),"")</f>
        <v>1899</v>
      </c>
      <c r="I269" s="1" t="n">
        <f aca="false">IF(AND('3-Position 50m'!D69&lt;&gt;"",'3-Position 50m'!M69&lt;&gt;""),1,0)</f>
        <v>0</v>
      </c>
    </row>
    <row r="270" customFormat="false" ht="15" hidden="false" customHeight="true" outlineLevel="0" collapsed="false">
      <c r="A270" s="83" t="n">
        <f aca="false">'3-Position 50m'!A70</f>
        <v>0</v>
      </c>
      <c r="B270" s="1" t="n">
        <f aca="false">'3-Position 50m'!C70</f>
        <v>0</v>
      </c>
      <c r="C270" s="1" t="n">
        <f aca="false">'3-Position 50m'!D70</f>
        <v>0</v>
      </c>
      <c r="D270" s="1" t="n">
        <f aca="false">'3-Position 50m'!E70</f>
        <v>0</v>
      </c>
      <c r="E270" s="1" t="n">
        <f aca="false">'3-Position 50m'!F70</f>
        <v>0</v>
      </c>
      <c r="F270" s="1" t="n">
        <f aca="false">IF('3-Position 50m'!M70="",0,'3-Position 50m'!M70)</f>
        <v>0</v>
      </c>
      <c r="G270" s="1" t="n">
        <f aca="false">IF('3-Position 50m'!N70="",0,'3-Position 50m'!N70)</f>
        <v>0</v>
      </c>
      <c r="H270" s="1" t="n">
        <f aca="false">IFERROR(YEAR('3-Position 50m'!A70),"")</f>
        <v>1899</v>
      </c>
      <c r="I270" s="1" t="n">
        <f aca="false">IF(AND('3-Position 50m'!D70&lt;&gt;"",'3-Position 50m'!M70&lt;&gt;""),1,0)</f>
        <v>0</v>
      </c>
    </row>
    <row r="271" customFormat="false" ht="15" hidden="false" customHeight="true" outlineLevel="0" collapsed="false">
      <c r="A271" s="83" t="n">
        <f aca="false">'3-Position 50m'!A71</f>
        <v>0</v>
      </c>
      <c r="B271" s="1" t="n">
        <f aca="false">'3-Position 50m'!C71</f>
        <v>0</v>
      </c>
      <c r="C271" s="1" t="n">
        <f aca="false">'3-Position 50m'!D71</f>
        <v>0</v>
      </c>
      <c r="D271" s="1" t="n">
        <f aca="false">'3-Position 50m'!E71</f>
        <v>0</v>
      </c>
      <c r="E271" s="1" t="n">
        <f aca="false">'3-Position 50m'!F71</f>
        <v>0</v>
      </c>
      <c r="F271" s="1" t="n">
        <f aca="false">IF('3-Position 50m'!M71="",0,'3-Position 50m'!M71)</f>
        <v>0</v>
      </c>
      <c r="G271" s="1" t="n">
        <f aca="false">IF('3-Position 50m'!N71="",0,'3-Position 50m'!N71)</f>
        <v>0</v>
      </c>
      <c r="H271" s="1" t="n">
        <f aca="false">IFERROR(YEAR('3-Position 50m'!A71),"")</f>
        <v>1899</v>
      </c>
      <c r="I271" s="1" t="n">
        <f aca="false">IF(AND('3-Position 50m'!D71&lt;&gt;"",'3-Position 50m'!M71&lt;&gt;""),1,0)</f>
        <v>0</v>
      </c>
    </row>
    <row r="272" customFormat="false" ht="15" hidden="false" customHeight="true" outlineLevel="0" collapsed="false">
      <c r="A272" s="83" t="n">
        <f aca="false">'3-Position 50m'!A72</f>
        <v>0</v>
      </c>
      <c r="B272" s="1" t="n">
        <f aca="false">'3-Position 50m'!C72</f>
        <v>0</v>
      </c>
      <c r="C272" s="1" t="n">
        <f aca="false">'3-Position 50m'!D72</f>
        <v>0</v>
      </c>
      <c r="D272" s="1" t="n">
        <f aca="false">'3-Position 50m'!E72</f>
        <v>0</v>
      </c>
      <c r="E272" s="1" t="n">
        <f aca="false">'3-Position 50m'!F72</f>
        <v>0</v>
      </c>
      <c r="F272" s="1" t="n">
        <f aca="false">IF('3-Position 50m'!M72="",0,'3-Position 50m'!M72)</f>
        <v>0</v>
      </c>
      <c r="G272" s="1" t="n">
        <f aca="false">IF('3-Position 50m'!N72="",0,'3-Position 50m'!N72)</f>
        <v>0</v>
      </c>
      <c r="H272" s="1" t="n">
        <f aca="false">IFERROR(YEAR('3-Position 50m'!A72),"")</f>
        <v>1899</v>
      </c>
      <c r="I272" s="1" t="n">
        <f aca="false">IF(AND('3-Position 50m'!D72&lt;&gt;"",'3-Position 50m'!M72&lt;&gt;""),1,0)</f>
        <v>0</v>
      </c>
    </row>
    <row r="273" customFormat="false" ht="15" hidden="false" customHeight="true" outlineLevel="0" collapsed="false">
      <c r="A273" s="83" t="n">
        <f aca="false">'3-Position 50m'!A73</f>
        <v>0</v>
      </c>
      <c r="B273" s="1" t="n">
        <f aca="false">'3-Position 50m'!C73</f>
        <v>0</v>
      </c>
      <c r="C273" s="1" t="n">
        <f aca="false">'3-Position 50m'!D73</f>
        <v>0</v>
      </c>
      <c r="D273" s="1" t="n">
        <f aca="false">'3-Position 50m'!E73</f>
        <v>0</v>
      </c>
      <c r="E273" s="1" t="n">
        <f aca="false">'3-Position 50m'!F73</f>
        <v>0</v>
      </c>
      <c r="F273" s="1" t="n">
        <f aca="false">IF('3-Position 50m'!M73="",0,'3-Position 50m'!M73)</f>
        <v>0</v>
      </c>
      <c r="G273" s="1" t="n">
        <f aca="false">IF('3-Position 50m'!N73="",0,'3-Position 50m'!N73)</f>
        <v>0</v>
      </c>
      <c r="H273" s="1" t="n">
        <f aca="false">IFERROR(YEAR('3-Position 50m'!A73),"")</f>
        <v>1899</v>
      </c>
      <c r="I273" s="1" t="n">
        <f aca="false">IF(AND('3-Position 50m'!D73&lt;&gt;"",'3-Position 50m'!M73&lt;&gt;""),1,0)</f>
        <v>0</v>
      </c>
    </row>
    <row r="274" customFormat="false" ht="15" hidden="false" customHeight="true" outlineLevel="0" collapsed="false">
      <c r="A274" s="83" t="n">
        <f aca="false">'3-Position 50m'!A74</f>
        <v>0</v>
      </c>
      <c r="B274" s="1" t="n">
        <f aca="false">'3-Position 50m'!C74</f>
        <v>0</v>
      </c>
      <c r="C274" s="1" t="n">
        <f aca="false">'3-Position 50m'!D74</f>
        <v>0</v>
      </c>
      <c r="D274" s="1" t="n">
        <f aca="false">'3-Position 50m'!E74</f>
        <v>0</v>
      </c>
      <c r="E274" s="1" t="n">
        <f aca="false">'3-Position 50m'!F74</f>
        <v>0</v>
      </c>
      <c r="F274" s="1" t="n">
        <f aca="false">IF('3-Position 50m'!M74="",0,'3-Position 50m'!M74)</f>
        <v>0</v>
      </c>
      <c r="G274" s="1" t="n">
        <f aca="false">IF('3-Position 50m'!N74="",0,'3-Position 50m'!N74)</f>
        <v>0</v>
      </c>
      <c r="H274" s="1" t="n">
        <f aca="false">IFERROR(YEAR('3-Position 50m'!A74),"")</f>
        <v>1899</v>
      </c>
      <c r="I274" s="1" t="n">
        <f aca="false">IF(AND('3-Position 50m'!D74&lt;&gt;"",'3-Position 50m'!M74&lt;&gt;""),1,0)</f>
        <v>0</v>
      </c>
    </row>
    <row r="275" customFormat="false" ht="15" hidden="false" customHeight="true" outlineLevel="0" collapsed="false">
      <c r="A275" s="83" t="n">
        <f aca="false">'3-Position 50m'!A75</f>
        <v>0</v>
      </c>
      <c r="B275" s="1" t="n">
        <f aca="false">'3-Position 50m'!C75</f>
        <v>0</v>
      </c>
      <c r="C275" s="1" t="n">
        <f aca="false">'3-Position 50m'!D75</f>
        <v>0</v>
      </c>
      <c r="D275" s="1" t="n">
        <f aca="false">'3-Position 50m'!E75</f>
        <v>0</v>
      </c>
      <c r="E275" s="1" t="n">
        <f aca="false">'3-Position 50m'!F75</f>
        <v>0</v>
      </c>
      <c r="F275" s="1" t="n">
        <f aca="false">IF('3-Position 50m'!M75="",0,'3-Position 50m'!M75)</f>
        <v>0</v>
      </c>
      <c r="G275" s="1" t="n">
        <f aca="false">IF('3-Position 50m'!N75="",0,'3-Position 50m'!N75)</f>
        <v>0</v>
      </c>
      <c r="H275" s="1" t="n">
        <f aca="false">IFERROR(YEAR('3-Position 50m'!A75),"")</f>
        <v>1899</v>
      </c>
      <c r="I275" s="1" t="n">
        <f aca="false">IF(AND('3-Position 50m'!D75&lt;&gt;"",'3-Position 50m'!M75&lt;&gt;""),1,0)</f>
        <v>0</v>
      </c>
    </row>
    <row r="276" customFormat="false" ht="15" hidden="false" customHeight="true" outlineLevel="0" collapsed="false">
      <c r="A276" s="83" t="n">
        <f aca="false">'3-Position 50m'!A76</f>
        <v>0</v>
      </c>
      <c r="B276" s="1" t="n">
        <f aca="false">'3-Position 50m'!C76</f>
        <v>0</v>
      </c>
      <c r="C276" s="1" t="n">
        <f aca="false">'3-Position 50m'!D76</f>
        <v>0</v>
      </c>
      <c r="D276" s="1" t="n">
        <f aca="false">'3-Position 50m'!E76</f>
        <v>0</v>
      </c>
      <c r="E276" s="1" t="n">
        <f aca="false">'3-Position 50m'!F76</f>
        <v>0</v>
      </c>
      <c r="F276" s="1" t="n">
        <f aca="false">IF('3-Position 50m'!M76="",0,'3-Position 50m'!M76)</f>
        <v>0</v>
      </c>
      <c r="G276" s="1" t="n">
        <f aca="false">IF('3-Position 50m'!N76="",0,'3-Position 50m'!N76)</f>
        <v>0</v>
      </c>
      <c r="H276" s="1" t="n">
        <f aca="false">IFERROR(YEAR('3-Position 50m'!A76),"")</f>
        <v>1899</v>
      </c>
      <c r="I276" s="1" t="n">
        <f aca="false">IF(AND('3-Position 50m'!D76&lt;&gt;"",'3-Position 50m'!M76&lt;&gt;""),1,0)</f>
        <v>0</v>
      </c>
    </row>
    <row r="277" customFormat="false" ht="15" hidden="false" customHeight="true" outlineLevel="0" collapsed="false">
      <c r="A277" s="83" t="n">
        <f aca="false">'3-Position 50m'!A77</f>
        <v>0</v>
      </c>
      <c r="B277" s="1" t="n">
        <f aca="false">'3-Position 50m'!C77</f>
        <v>0</v>
      </c>
      <c r="C277" s="1" t="n">
        <f aca="false">'3-Position 50m'!D77</f>
        <v>0</v>
      </c>
      <c r="D277" s="1" t="n">
        <f aca="false">'3-Position 50m'!E77</f>
        <v>0</v>
      </c>
      <c r="E277" s="1" t="n">
        <f aca="false">'3-Position 50m'!F77</f>
        <v>0</v>
      </c>
      <c r="F277" s="1" t="n">
        <f aca="false">IF('3-Position 50m'!M77="",0,'3-Position 50m'!M77)</f>
        <v>0</v>
      </c>
      <c r="G277" s="1" t="n">
        <f aca="false">IF('3-Position 50m'!N77="",0,'3-Position 50m'!N77)</f>
        <v>0</v>
      </c>
      <c r="H277" s="1" t="n">
        <f aca="false">IFERROR(YEAR('3-Position 50m'!A77),"")</f>
        <v>1899</v>
      </c>
      <c r="I277" s="1" t="n">
        <f aca="false">IF(AND('3-Position 50m'!D77&lt;&gt;"",'3-Position 50m'!M77&lt;&gt;""),1,0)</f>
        <v>0</v>
      </c>
    </row>
    <row r="278" customFormat="false" ht="15" hidden="false" customHeight="true" outlineLevel="0" collapsed="false">
      <c r="A278" s="83" t="n">
        <f aca="false">'3-Position 50m'!A78</f>
        <v>0</v>
      </c>
      <c r="B278" s="1" t="n">
        <f aca="false">'3-Position 50m'!C78</f>
        <v>0</v>
      </c>
      <c r="C278" s="1" t="n">
        <f aca="false">'3-Position 50m'!D78</f>
        <v>0</v>
      </c>
      <c r="D278" s="1" t="n">
        <f aca="false">'3-Position 50m'!E78</f>
        <v>0</v>
      </c>
      <c r="E278" s="1" t="n">
        <f aca="false">'3-Position 50m'!F78</f>
        <v>0</v>
      </c>
      <c r="F278" s="1" t="n">
        <f aca="false">IF('3-Position 50m'!M78="",0,'3-Position 50m'!M78)</f>
        <v>0</v>
      </c>
      <c r="G278" s="1" t="n">
        <f aca="false">IF('3-Position 50m'!N78="",0,'3-Position 50m'!N78)</f>
        <v>0</v>
      </c>
      <c r="H278" s="1" t="n">
        <f aca="false">IFERROR(YEAR('3-Position 50m'!A78),"")</f>
        <v>1899</v>
      </c>
      <c r="I278" s="1" t="n">
        <f aca="false">IF(AND('3-Position 50m'!D78&lt;&gt;"",'3-Position 50m'!M78&lt;&gt;""),1,0)</f>
        <v>0</v>
      </c>
    </row>
    <row r="279" customFormat="false" ht="15" hidden="false" customHeight="true" outlineLevel="0" collapsed="false">
      <c r="A279" s="83" t="n">
        <f aca="false">'3-Position 50m'!A79</f>
        <v>0</v>
      </c>
      <c r="B279" s="1" t="n">
        <f aca="false">'3-Position 50m'!C79</f>
        <v>0</v>
      </c>
      <c r="C279" s="1" t="n">
        <f aca="false">'3-Position 50m'!D79</f>
        <v>0</v>
      </c>
      <c r="D279" s="1" t="n">
        <f aca="false">'3-Position 50m'!E79</f>
        <v>0</v>
      </c>
      <c r="E279" s="1" t="n">
        <f aca="false">'3-Position 50m'!F79</f>
        <v>0</v>
      </c>
      <c r="F279" s="1" t="n">
        <f aca="false">IF('3-Position 50m'!M79="",0,'3-Position 50m'!M79)</f>
        <v>0</v>
      </c>
      <c r="G279" s="1" t="n">
        <f aca="false">IF('3-Position 50m'!N79="",0,'3-Position 50m'!N79)</f>
        <v>0</v>
      </c>
      <c r="H279" s="1" t="n">
        <f aca="false">IFERROR(YEAR('3-Position 50m'!A79),"")</f>
        <v>1899</v>
      </c>
      <c r="I279" s="1" t="n">
        <f aca="false">IF(AND('3-Position 50m'!D79&lt;&gt;"",'3-Position 50m'!M79&lt;&gt;""),1,0)</f>
        <v>0</v>
      </c>
    </row>
    <row r="280" customFormat="false" ht="15" hidden="false" customHeight="true" outlineLevel="0" collapsed="false">
      <c r="A280" s="83" t="n">
        <f aca="false">'3-Position 50m'!A80</f>
        <v>0</v>
      </c>
      <c r="B280" s="1" t="n">
        <f aca="false">'3-Position 50m'!C80</f>
        <v>0</v>
      </c>
      <c r="C280" s="1" t="n">
        <f aca="false">'3-Position 50m'!D80</f>
        <v>0</v>
      </c>
      <c r="D280" s="1" t="n">
        <f aca="false">'3-Position 50m'!E80</f>
        <v>0</v>
      </c>
      <c r="E280" s="1" t="n">
        <f aca="false">'3-Position 50m'!F80</f>
        <v>0</v>
      </c>
      <c r="F280" s="1" t="n">
        <f aca="false">IF('3-Position 50m'!M80="",0,'3-Position 50m'!M80)</f>
        <v>0</v>
      </c>
      <c r="G280" s="1" t="n">
        <f aca="false">IF('3-Position 50m'!N80="",0,'3-Position 50m'!N80)</f>
        <v>0</v>
      </c>
      <c r="H280" s="1" t="n">
        <f aca="false">IFERROR(YEAR('3-Position 50m'!A80),"")</f>
        <v>1899</v>
      </c>
      <c r="I280" s="1" t="n">
        <f aca="false">IF(AND('3-Position 50m'!D80&lt;&gt;"",'3-Position 50m'!M80&lt;&gt;""),1,0)</f>
        <v>0</v>
      </c>
    </row>
    <row r="281" customFormat="false" ht="15" hidden="false" customHeight="true" outlineLevel="0" collapsed="false">
      <c r="A281" s="83" t="n">
        <f aca="false">'3-Position 50m'!A81</f>
        <v>0</v>
      </c>
      <c r="B281" s="1" t="n">
        <f aca="false">'3-Position 50m'!C81</f>
        <v>0</v>
      </c>
      <c r="C281" s="1" t="n">
        <f aca="false">'3-Position 50m'!D81</f>
        <v>0</v>
      </c>
      <c r="D281" s="1" t="n">
        <f aca="false">'3-Position 50m'!E81</f>
        <v>0</v>
      </c>
      <c r="E281" s="1" t="n">
        <f aca="false">'3-Position 50m'!F81</f>
        <v>0</v>
      </c>
      <c r="F281" s="1" t="n">
        <f aca="false">IF('3-Position 50m'!M81="",0,'3-Position 50m'!M81)</f>
        <v>0</v>
      </c>
      <c r="G281" s="1" t="n">
        <f aca="false">IF('3-Position 50m'!N81="",0,'3-Position 50m'!N81)</f>
        <v>0</v>
      </c>
      <c r="H281" s="1" t="n">
        <f aca="false">IFERROR(YEAR('3-Position 50m'!A81),"")</f>
        <v>1899</v>
      </c>
      <c r="I281" s="1" t="n">
        <f aca="false">IF(AND('3-Position 50m'!D81&lt;&gt;"",'3-Position 50m'!M81&lt;&gt;""),1,0)</f>
        <v>0</v>
      </c>
    </row>
    <row r="282" customFormat="false" ht="15" hidden="false" customHeight="true" outlineLevel="0" collapsed="false">
      <c r="A282" s="83" t="n">
        <f aca="false">'3-Position 50m'!A82</f>
        <v>0</v>
      </c>
      <c r="B282" s="1" t="n">
        <f aca="false">'3-Position 50m'!C82</f>
        <v>0</v>
      </c>
      <c r="C282" s="1" t="n">
        <f aca="false">'3-Position 50m'!D82</f>
        <v>0</v>
      </c>
      <c r="D282" s="1" t="n">
        <f aca="false">'3-Position 50m'!E82</f>
        <v>0</v>
      </c>
      <c r="E282" s="1" t="n">
        <f aca="false">'3-Position 50m'!F82</f>
        <v>0</v>
      </c>
      <c r="F282" s="1" t="n">
        <f aca="false">IF('3-Position 50m'!M82="",0,'3-Position 50m'!M82)</f>
        <v>0</v>
      </c>
      <c r="G282" s="1" t="n">
        <f aca="false">IF('3-Position 50m'!N82="",0,'3-Position 50m'!N82)</f>
        <v>0</v>
      </c>
      <c r="H282" s="1" t="n">
        <f aca="false">IFERROR(YEAR('3-Position 50m'!A82),"")</f>
        <v>1899</v>
      </c>
      <c r="I282" s="1" t="n">
        <f aca="false">IF(AND('3-Position 50m'!D82&lt;&gt;"",'3-Position 50m'!M82&lt;&gt;""),1,0)</f>
        <v>0</v>
      </c>
    </row>
    <row r="283" customFormat="false" ht="15" hidden="false" customHeight="true" outlineLevel="0" collapsed="false">
      <c r="A283" s="83" t="n">
        <f aca="false">'3-Position 50m'!A83</f>
        <v>0</v>
      </c>
      <c r="B283" s="1" t="n">
        <f aca="false">'3-Position 50m'!C83</f>
        <v>0</v>
      </c>
      <c r="C283" s="1" t="n">
        <f aca="false">'3-Position 50m'!D83</f>
        <v>0</v>
      </c>
      <c r="D283" s="1" t="n">
        <f aca="false">'3-Position 50m'!E83</f>
        <v>0</v>
      </c>
      <c r="E283" s="1" t="n">
        <f aca="false">'3-Position 50m'!F83</f>
        <v>0</v>
      </c>
      <c r="F283" s="1" t="n">
        <f aca="false">IF('3-Position 50m'!M83="",0,'3-Position 50m'!M83)</f>
        <v>0</v>
      </c>
      <c r="G283" s="1" t="n">
        <f aca="false">IF('3-Position 50m'!N83="",0,'3-Position 50m'!N83)</f>
        <v>0</v>
      </c>
      <c r="H283" s="1" t="n">
        <f aca="false">IFERROR(YEAR('3-Position 50m'!A83),"")</f>
        <v>1899</v>
      </c>
      <c r="I283" s="1" t="n">
        <f aca="false">IF(AND('3-Position 50m'!D83&lt;&gt;"",'3-Position 50m'!M83&lt;&gt;""),1,0)</f>
        <v>0</v>
      </c>
    </row>
    <row r="284" customFormat="false" ht="15" hidden="false" customHeight="true" outlineLevel="0" collapsed="false">
      <c r="A284" s="83" t="n">
        <f aca="false">'3-Position 50m'!A84</f>
        <v>0</v>
      </c>
      <c r="B284" s="1" t="n">
        <f aca="false">'3-Position 50m'!C84</f>
        <v>0</v>
      </c>
      <c r="C284" s="1" t="n">
        <f aca="false">'3-Position 50m'!D84</f>
        <v>0</v>
      </c>
      <c r="D284" s="1" t="n">
        <f aca="false">'3-Position 50m'!E84</f>
        <v>0</v>
      </c>
      <c r="E284" s="1" t="n">
        <f aca="false">'3-Position 50m'!F84</f>
        <v>0</v>
      </c>
      <c r="F284" s="1" t="n">
        <f aca="false">IF('3-Position 50m'!M84="",0,'3-Position 50m'!M84)</f>
        <v>0</v>
      </c>
      <c r="G284" s="1" t="n">
        <f aca="false">IF('3-Position 50m'!N84="",0,'3-Position 50m'!N84)</f>
        <v>0</v>
      </c>
      <c r="H284" s="1" t="n">
        <f aca="false">IFERROR(YEAR('3-Position 50m'!A84),"")</f>
        <v>1899</v>
      </c>
      <c r="I284" s="1" t="n">
        <f aca="false">IF(AND('3-Position 50m'!D84&lt;&gt;"",'3-Position 50m'!M84&lt;&gt;""),1,0)</f>
        <v>0</v>
      </c>
    </row>
    <row r="285" customFormat="false" ht="15" hidden="false" customHeight="true" outlineLevel="0" collapsed="false">
      <c r="A285" s="83" t="n">
        <f aca="false">'3-Position 50m'!A85</f>
        <v>0</v>
      </c>
      <c r="B285" s="1" t="n">
        <f aca="false">'3-Position 50m'!C85</f>
        <v>0</v>
      </c>
      <c r="C285" s="1" t="n">
        <f aca="false">'3-Position 50m'!D85</f>
        <v>0</v>
      </c>
      <c r="D285" s="1" t="n">
        <f aca="false">'3-Position 50m'!E85</f>
        <v>0</v>
      </c>
      <c r="E285" s="1" t="n">
        <f aca="false">'3-Position 50m'!F85</f>
        <v>0</v>
      </c>
      <c r="F285" s="1" t="n">
        <f aca="false">IF('3-Position 50m'!M85="",0,'3-Position 50m'!M85)</f>
        <v>0</v>
      </c>
      <c r="G285" s="1" t="n">
        <f aca="false">IF('3-Position 50m'!N85="",0,'3-Position 50m'!N85)</f>
        <v>0</v>
      </c>
      <c r="H285" s="1" t="n">
        <f aca="false">IFERROR(YEAR('3-Position 50m'!A85),"")</f>
        <v>1899</v>
      </c>
      <c r="I285" s="1" t="n">
        <f aca="false">IF(AND('3-Position 50m'!D85&lt;&gt;"",'3-Position 50m'!M85&lt;&gt;""),1,0)</f>
        <v>0</v>
      </c>
    </row>
    <row r="286" customFormat="false" ht="15" hidden="false" customHeight="true" outlineLevel="0" collapsed="false">
      <c r="A286" s="83" t="n">
        <f aca="false">'3-Position 50m'!A86</f>
        <v>0</v>
      </c>
      <c r="B286" s="1" t="n">
        <f aca="false">'3-Position 50m'!C86</f>
        <v>0</v>
      </c>
      <c r="C286" s="1" t="n">
        <f aca="false">'3-Position 50m'!D86</f>
        <v>0</v>
      </c>
      <c r="D286" s="1" t="n">
        <f aca="false">'3-Position 50m'!E86</f>
        <v>0</v>
      </c>
      <c r="E286" s="1" t="n">
        <f aca="false">'3-Position 50m'!F86</f>
        <v>0</v>
      </c>
      <c r="F286" s="1" t="n">
        <f aca="false">IF('3-Position 50m'!M86="",0,'3-Position 50m'!M86)</f>
        <v>0</v>
      </c>
      <c r="G286" s="1" t="n">
        <f aca="false">IF('3-Position 50m'!N86="",0,'3-Position 50m'!N86)</f>
        <v>0</v>
      </c>
      <c r="H286" s="1" t="n">
        <f aca="false">IFERROR(YEAR('3-Position 50m'!A86),"")</f>
        <v>1899</v>
      </c>
      <c r="I286" s="1" t="n">
        <f aca="false">IF(AND('3-Position 50m'!D86&lt;&gt;"",'3-Position 50m'!M86&lt;&gt;""),1,0)</f>
        <v>0</v>
      </c>
    </row>
    <row r="287" customFormat="false" ht="15" hidden="false" customHeight="true" outlineLevel="0" collapsed="false">
      <c r="A287" s="83" t="n">
        <f aca="false">'3-Position 50m'!A87</f>
        <v>0</v>
      </c>
      <c r="B287" s="1" t="n">
        <f aca="false">'3-Position 50m'!C87</f>
        <v>0</v>
      </c>
      <c r="C287" s="1" t="n">
        <f aca="false">'3-Position 50m'!D87</f>
        <v>0</v>
      </c>
      <c r="D287" s="1" t="n">
        <f aca="false">'3-Position 50m'!E87</f>
        <v>0</v>
      </c>
      <c r="E287" s="1" t="n">
        <f aca="false">'3-Position 50m'!F87</f>
        <v>0</v>
      </c>
      <c r="F287" s="1" t="n">
        <f aca="false">IF('3-Position 50m'!M87="",0,'3-Position 50m'!M87)</f>
        <v>0</v>
      </c>
      <c r="G287" s="1" t="n">
        <f aca="false">IF('3-Position 50m'!N87="",0,'3-Position 50m'!N87)</f>
        <v>0</v>
      </c>
      <c r="H287" s="1" t="n">
        <f aca="false">IFERROR(YEAR('3-Position 50m'!A87),"")</f>
        <v>1899</v>
      </c>
      <c r="I287" s="1" t="n">
        <f aca="false">IF(AND('3-Position 50m'!D87&lt;&gt;"",'3-Position 50m'!M87&lt;&gt;""),1,0)</f>
        <v>0</v>
      </c>
    </row>
    <row r="288" customFormat="false" ht="15" hidden="false" customHeight="true" outlineLevel="0" collapsed="false">
      <c r="A288" s="83" t="n">
        <f aca="false">'3-Position 50m'!A88</f>
        <v>0</v>
      </c>
      <c r="B288" s="1" t="n">
        <f aca="false">'3-Position 50m'!C88</f>
        <v>0</v>
      </c>
      <c r="C288" s="1" t="n">
        <f aca="false">'3-Position 50m'!D88</f>
        <v>0</v>
      </c>
      <c r="D288" s="1" t="n">
        <f aca="false">'3-Position 50m'!E88</f>
        <v>0</v>
      </c>
      <c r="E288" s="1" t="n">
        <f aca="false">'3-Position 50m'!F88</f>
        <v>0</v>
      </c>
      <c r="F288" s="1" t="n">
        <f aca="false">IF('3-Position 50m'!M88="",0,'3-Position 50m'!M88)</f>
        <v>0</v>
      </c>
      <c r="G288" s="1" t="n">
        <f aca="false">IF('3-Position 50m'!N88="",0,'3-Position 50m'!N88)</f>
        <v>0</v>
      </c>
      <c r="H288" s="1" t="n">
        <f aca="false">IFERROR(YEAR('3-Position 50m'!A88),"")</f>
        <v>1899</v>
      </c>
      <c r="I288" s="1" t="n">
        <f aca="false">IF(AND('3-Position 50m'!D88&lt;&gt;"",'3-Position 50m'!M88&lt;&gt;""),1,0)</f>
        <v>0</v>
      </c>
    </row>
    <row r="289" customFormat="false" ht="15" hidden="false" customHeight="true" outlineLevel="0" collapsed="false">
      <c r="A289" s="83" t="n">
        <f aca="false">'3-Position 50m'!A89</f>
        <v>0</v>
      </c>
      <c r="B289" s="1" t="n">
        <f aca="false">'3-Position 50m'!C89</f>
        <v>0</v>
      </c>
      <c r="C289" s="1" t="n">
        <f aca="false">'3-Position 50m'!D89</f>
        <v>0</v>
      </c>
      <c r="D289" s="1" t="n">
        <f aca="false">'3-Position 50m'!E89</f>
        <v>0</v>
      </c>
      <c r="E289" s="1" t="n">
        <f aca="false">'3-Position 50m'!F89</f>
        <v>0</v>
      </c>
      <c r="F289" s="1" t="n">
        <f aca="false">IF('3-Position 50m'!M89="",0,'3-Position 50m'!M89)</f>
        <v>0</v>
      </c>
      <c r="G289" s="1" t="n">
        <f aca="false">IF('3-Position 50m'!N89="",0,'3-Position 50m'!N89)</f>
        <v>0</v>
      </c>
      <c r="H289" s="1" t="n">
        <f aca="false">IFERROR(YEAR('3-Position 50m'!A89),"")</f>
        <v>1899</v>
      </c>
      <c r="I289" s="1" t="n">
        <f aca="false">IF(AND('3-Position 50m'!D89&lt;&gt;"",'3-Position 50m'!M89&lt;&gt;""),1,0)</f>
        <v>0</v>
      </c>
    </row>
    <row r="290" customFormat="false" ht="15" hidden="false" customHeight="true" outlineLevel="0" collapsed="false">
      <c r="A290" s="83" t="n">
        <f aca="false">'3-Position 50m'!A90</f>
        <v>0</v>
      </c>
      <c r="B290" s="1" t="n">
        <f aca="false">'3-Position 50m'!C90</f>
        <v>0</v>
      </c>
      <c r="C290" s="1" t="n">
        <f aca="false">'3-Position 50m'!D90</f>
        <v>0</v>
      </c>
      <c r="D290" s="1" t="n">
        <f aca="false">'3-Position 50m'!E90</f>
        <v>0</v>
      </c>
      <c r="E290" s="1" t="n">
        <f aca="false">'3-Position 50m'!F90</f>
        <v>0</v>
      </c>
      <c r="F290" s="1" t="n">
        <f aca="false">IF('3-Position 50m'!M90="",0,'3-Position 50m'!M90)</f>
        <v>0</v>
      </c>
      <c r="G290" s="1" t="n">
        <f aca="false">IF('3-Position 50m'!N90="",0,'3-Position 50m'!N90)</f>
        <v>0</v>
      </c>
      <c r="H290" s="1" t="n">
        <f aca="false">IFERROR(YEAR('3-Position 50m'!A90),"")</f>
        <v>1899</v>
      </c>
      <c r="I290" s="1" t="n">
        <f aca="false">IF(AND('3-Position 50m'!D90&lt;&gt;"",'3-Position 50m'!M90&lt;&gt;""),1,0)</f>
        <v>0</v>
      </c>
    </row>
    <row r="291" customFormat="false" ht="15" hidden="false" customHeight="true" outlineLevel="0" collapsed="false">
      <c r="A291" s="83" t="n">
        <f aca="false">'3-Position 50m'!A91</f>
        <v>0</v>
      </c>
      <c r="B291" s="1" t="n">
        <f aca="false">'3-Position 50m'!C91</f>
        <v>0</v>
      </c>
      <c r="C291" s="1" t="n">
        <f aca="false">'3-Position 50m'!D91</f>
        <v>0</v>
      </c>
      <c r="D291" s="1" t="n">
        <f aca="false">'3-Position 50m'!E91</f>
        <v>0</v>
      </c>
      <c r="E291" s="1" t="n">
        <f aca="false">'3-Position 50m'!F91</f>
        <v>0</v>
      </c>
      <c r="F291" s="1" t="n">
        <f aca="false">IF('3-Position 50m'!M91="",0,'3-Position 50m'!M91)</f>
        <v>0</v>
      </c>
      <c r="G291" s="1" t="n">
        <f aca="false">IF('3-Position 50m'!N91="",0,'3-Position 50m'!N91)</f>
        <v>0</v>
      </c>
      <c r="H291" s="1" t="n">
        <f aca="false">IFERROR(YEAR('3-Position 50m'!A91),"")</f>
        <v>1899</v>
      </c>
      <c r="I291" s="1" t="n">
        <f aca="false">IF(AND('3-Position 50m'!D91&lt;&gt;"",'3-Position 50m'!M91&lt;&gt;""),1,0)</f>
        <v>0</v>
      </c>
    </row>
    <row r="292" customFormat="false" ht="15" hidden="false" customHeight="true" outlineLevel="0" collapsed="false">
      <c r="A292" s="83" t="n">
        <f aca="false">'3-Position 50m'!A92</f>
        <v>0</v>
      </c>
      <c r="B292" s="1" t="n">
        <f aca="false">'3-Position 50m'!C92</f>
        <v>0</v>
      </c>
      <c r="C292" s="1" t="n">
        <f aca="false">'3-Position 50m'!D92</f>
        <v>0</v>
      </c>
      <c r="D292" s="1" t="n">
        <f aca="false">'3-Position 50m'!E92</f>
        <v>0</v>
      </c>
      <c r="E292" s="1" t="n">
        <f aca="false">'3-Position 50m'!F92</f>
        <v>0</v>
      </c>
      <c r="F292" s="1" t="n">
        <f aca="false">IF('3-Position 50m'!M92="",0,'3-Position 50m'!M92)</f>
        <v>0</v>
      </c>
      <c r="G292" s="1" t="n">
        <f aca="false">IF('3-Position 50m'!N92="",0,'3-Position 50m'!N92)</f>
        <v>0</v>
      </c>
      <c r="H292" s="1" t="n">
        <f aca="false">IFERROR(YEAR('3-Position 50m'!A92),"")</f>
        <v>1899</v>
      </c>
      <c r="I292" s="1" t="n">
        <f aca="false">IF(AND('3-Position 50m'!D92&lt;&gt;"",'3-Position 50m'!M92&lt;&gt;""),1,0)</f>
        <v>0</v>
      </c>
    </row>
    <row r="293" customFormat="false" ht="15" hidden="false" customHeight="true" outlineLevel="0" collapsed="false">
      <c r="A293" s="83" t="n">
        <f aca="false">'3-Position 50m'!A93</f>
        <v>0</v>
      </c>
      <c r="B293" s="1" t="n">
        <f aca="false">'3-Position 50m'!C93</f>
        <v>0</v>
      </c>
      <c r="C293" s="1" t="n">
        <f aca="false">'3-Position 50m'!D93</f>
        <v>0</v>
      </c>
      <c r="D293" s="1" t="n">
        <f aca="false">'3-Position 50m'!E93</f>
        <v>0</v>
      </c>
      <c r="E293" s="1" t="n">
        <f aca="false">'3-Position 50m'!F93</f>
        <v>0</v>
      </c>
      <c r="F293" s="1" t="n">
        <f aca="false">IF('3-Position 50m'!M93="",0,'3-Position 50m'!M93)</f>
        <v>0</v>
      </c>
      <c r="G293" s="1" t="n">
        <f aca="false">IF('3-Position 50m'!N93="",0,'3-Position 50m'!N93)</f>
        <v>0</v>
      </c>
      <c r="H293" s="1" t="n">
        <f aca="false">IFERROR(YEAR('3-Position 50m'!A93),"")</f>
        <v>1899</v>
      </c>
      <c r="I293" s="1" t="n">
        <f aca="false">IF(AND('3-Position 50m'!D93&lt;&gt;"",'3-Position 50m'!M93&lt;&gt;""),1,0)</f>
        <v>0</v>
      </c>
    </row>
    <row r="294" customFormat="false" ht="15" hidden="false" customHeight="true" outlineLevel="0" collapsed="false">
      <c r="A294" s="83" t="n">
        <f aca="false">'3-Position 50m'!A94</f>
        <v>0</v>
      </c>
      <c r="B294" s="1" t="n">
        <f aca="false">'3-Position 50m'!C94</f>
        <v>0</v>
      </c>
      <c r="C294" s="1" t="n">
        <f aca="false">'3-Position 50m'!D94</f>
        <v>0</v>
      </c>
      <c r="D294" s="1" t="n">
        <f aca="false">'3-Position 50m'!E94</f>
        <v>0</v>
      </c>
      <c r="E294" s="1" t="n">
        <f aca="false">'3-Position 50m'!F94</f>
        <v>0</v>
      </c>
      <c r="F294" s="1" t="n">
        <f aca="false">IF('3-Position 50m'!M94="",0,'3-Position 50m'!M94)</f>
        <v>0</v>
      </c>
      <c r="G294" s="1" t="n">
        <f aca="false">IF('3-Position 50m'!N94="",0,'3-Position 50m'!N94)</f>
        <v>0</v>
      </c>
      <c r="H294" s="1" t="n">
        <f aca="false">IFERROR(YEAR('3-Position 50m'!A94),"")</f>
        <v>1899</v>
      </c>
      <c r="I294" s="1" t="n">
        <f aca="false">IF(AND('3-Position 50m'!D94&lt;&gt;"",'3-Position 50m'!M94&lt;&gt;""),1,0)</f>
        <v>0</v>
      </c>
    </row>
    <row r="295" customFormat="false" ht="15" hidden="false" customHeight="true" outlineLevel="0" collapsed="false">
      <c r="A295" s="83" t="n">
        <f aca="false">'3-Position 50m'!A95</f>
        <v>0</v>
      </c>
      <c r="B295" s="1" t="n">
        <f aca="false">'3-Position 50m'!C95</f>
        <v>0</v>
      </c>
      <c r="C295" s="1" t="n">
        <f aca="false">'3-Position 50m'!D95</f>
        <v>0</v>
      </c>
      <c r="D295" s="1" t="n">
        <f aca="false">'3-Position 50m'!E95</f>
        <v>0</v>
      </c>
      <c r="E295" s="1" t="n">
        <f aca="false">'3-Position 50m'!F95</f>
        <v>0</v>
      </c>
      <c r="F295" s="1" t="n">
        <f aca="false">IF('3-Position 50m'!M95="",0,'3-Position 50m'!M95)</f>
        <v>0</v>
      </c>
      <c r="G295" s="1" t="n">
        <f aca="false">IF('3-Position 50m'!N95="",0,'3-Position 50m'!N95)</f>
        <v>0</v>
      </c>
      <c r="H295" s="1" t="n">
        <f aca="false">IFERROR(YEAR('3-Position 50m'!A95),"")</f>
        <v>1899</v>
      </c>
      <c r="I295" s="1" t="n">
        <f aca="false">IF(AND('3-Position 50m'!D95&lt;&gt;"",'3-Position 50m'!M95&lt;&gt;""),1,0)</f>
        <v>0</v>
      </c>
    </row>
    <row r="296" customFormat="false" ht="15" hidden="false" customHeight="true" outlineLevel="0" collapsed="false">
      <c r="A296" s="83" t="n">
        <f aca="false">'3-Position 50m'!A96</f>
        <v>0</v>
      </c>
      <c r="B296" s="1" t="n">
        <f aca="false">'3-Position 50m'!C96</f>
        <v>0</v>
      </c>
      <c r="C296" s="1" t="n">
        <f aca="false">'3-Position 50m'!D96</f>
        <v>0</v>
      </c>
      <c r="D296" s="1" t="n">
        <f aca="false">'3-Position 50m'!E96</f>
        <v>0</v>
      </c>
      <c r="E296" s="1" t="n">
        <f aca="false">'3-Position 50m'!F96</f>
        <v>0</v>
      </c>
      <c r="F296" s="1" t="n">
        <f aca="false">IF('3-Position 50m'!M96="",0,'3-Position 50m'!M96)</f>
        <v>0</v>
      </c>
      <c r="G296" s="1" t="n">
        <f aca="false">IF('3-Position 50m'!N96="",0,'3-Position 50m'!N96)</f>
        <v>0</v>
      </c>
      <c r="H296" s="1" t="n">
        <f aca="false">IFERROR(YEAR('3-Position 50m'!A96),"")</f>
        <v>1899</v>
      </c>
      <c r="I296" s="1" t="n">
        <f aca="false">IF(AND('3-Position 50m'!D96&lt;&gt;"",'3-Position 50m'!M96&lt;&gt;""),1,0)</f>
        <v>0</v>
      </c>
    </row>
    <row r="297" customFormat="false" ht="15" hidden="false" customHeight="true" outlineLevel="0" collapsed="false">
      <c r="A297" s="83" t="n">
        <f aca="false">'3-Position 50m'!A97</f>
        <v>0</v>
      </c>
      <c r="B297" s="1" t="n">
        <f aca="false">'3-Position 50m'!C97</f>
        <v>0</v>
      </c>
      <c r="C297" s="1" t="n">
        <f aca="false">'3-Position 50m'!D97</f>
        <v>0</v>
      </c>
      <c r="D297" s="1" t="n">
        <f aca="false">'3-Position 50m'!E97</f>
        <v>0</v>
      </c>
      <c r="E297" s="1" t="n">
        <f aca="false">'3-Position 50m'!F97</f>
        <v>0</v>
      </c>
      <c r="F297" s="1" t="n">
        <f aca="false">IF('3-Position 50m'!M97="",0,'3-Position 50m'!M97)</f>
        <v>0</v>
      </c>
      <c r="G297" s="1" t="n">
        <f aca="false">IF('3-Position 50m'!N97="",0,'3-Position 50m'!N97)</f>
        <v>0</v>
      </c>
      <c r="H297" s="1" t="n">
        <f aca="false">IFERROR(YEAR('3-Position 50m'!A97),"")</f>
        <v>1899</v>
      </c>
      <c r="I297" s="1" t="n">
        <f aca="false">IF(AND('3-Position 50m'!D97&lt;&gt;"",'3-Position 50m'!M97&lt;&gt;""),1,0)</f>
        <v>0</v>
      </c>
    </row>
    <row r="298" customFormat="false" ht="15" hidden="false" customHeight="true" outlineLevel="0" collapsed="false">
      <c r="A298" s="83" t="n">
        <f aca="false">'3-Position 50m'!A98</f>
        <v>0</v>
      </c>
      <c r="B298" s="1" t="n">
        <f aca="false">'3-Position 50m'!C98</f>
        <v>0</v>
      </c>
      <c r="C298" s="1" t="n">
        <f aca="false">'3-Position 50m'!D98</f>
        <v>0</v>
      </c>
      <c r="D298" s="1" t="n">
        <f aca="false">'3-Position 50m'!E98</f>
        <v>0</v>
      </c>
      <c r="E298" s="1" t="n">
        <f aca="false">'3-Position 50m'!F98</f>
        <v>0</v>
      </c>
      <c r="F298" s="1" t="n">
        <f aca="false">IF('3-Position 50m'!M98="",0,'3-Position 50m'!M98)</f>
        <v>0</v>
      </c>
      <c r="G298" s="1" t="n">
        <f aca="false">IF('3-Position 50m'!N98="",0,'3-Position 50m'!N98)</f>
        <v>0</v>
      </c>
      <c r="H298" s="1" t="n">
        <f aca="false">IFERROR(YEAR('3-Position 50m'!A98),"")</f>
        <v>1899</v>
      </c>
      <c r="I298" s="1" t="n">
        <f aca="false">IF(AND('3-Position 50m'!D98&lt;&gt;"",'3-Position 50m'!M98&lt;&gt;""),1,0)</f>
        <v>0</v>
      </c>
    </row>
    <row r="299" customFormat="false" ht="15" hidden="false" customHeight="true" outlineLevel="0" collapsed="false">
      <c r="A299" s="83" t="n">
        <f aca="false">'3-Position 50m'!A99</f>
        <v>0</v>
      </c>
      <c r="B299" s="1" t="n">
        <f aca="false">'3-Position 50m'!C99</f>
        <v>0</v>
      </c>
      <c r="C299" s="1" t="n">
        <f aca="false">'3-Position 50m'!D99</f>
        <v>0</v>
      </c>
      <c r="D299" s="1" t="n">
        <f aca="false">'3-Position 50m'!E99</f>
        <v>0</v>
      </c>
      <c r="E299" s="1" t="n">
        <f aca="false">'3-Position 50m'!F99</f>
        <v>0</v>
      </c>
      <c r="F299" s="1" t="n">
        <f aca="false">IF('3-Position 50m'!M99="",0,'3-Position 50m'!M99)</f>
        <v>0</v>
      </c>
      <c r="G299" s="1" t="n">
        <f aca="false">IF('3-Position 50m'!N99="",0,'3-Position 50m'!N99)</f>
        <v>0</v>
      </c>
      <c r="H299" s="1" t="n">
        <f aca="false">IFERROR(YEAR('3-Position 50m'!A99),"")</f>
        <v>1899</v>
      </c>
      <c r="I299" s="1" t="n">
        <f aca="false">IF(AND('3-Position 50m'!D99&lt;&gt;"",'3-Position 50m'!M99&lt;&gt;""),1,0)</f>
        <v>0</v>
      </c>
    </row>
    <row r="300" customFormat="false" ht="15" hidden="false" customHeight="true" outlineLevel="0" collapsed="false">
      <c r="A300" s="83" t="n">
        <f aca="false">'3-Position 50m'!A100</f>
        <v>0</v>
      </c>
      <c r="B300" s="1" t="n">
        <f aca="false">'3-Position 50m'!C100</f>
        <v>0</v>
      </c>
      <c r="C300" s="1" t="n">
        <f aca="false">'3-Position 50m'!D100</f>
        <v>0</v>
      </c>
      <c r="D300" s="1" t="n">
        <f aca="false">'3-Position 50m'!E100</f>
        <v>0</v>
      </c>
      <c r="E300" s="1" t="n">
        <f aca="false">'3-Position 50m'!F100</f>
        <v>0</v>
      </c>
      <c r="F300" s="1" t="n">
        <f aca="false">IF('3-Position 50m'!M100="",0,'3-Position 50m'!M100)</f>
        <v>0</v>
      </c>
      <c r="G300" s="1" t="n">
        <f aca="false">IF('3-Position 50m'!N100="",0,'3-Position 50m'!N100)</f>
        <v>0</v>
      </c>
      <c r="H300" s="1" t="n">
        <f aca="false">IFERROR(YEAR('3-Position 50m'!A100),"")</f>
        <v>1899</v>
      </c>
      <c r="I300" s="1" t="n">
        <f aca="false">IF(AND('3-Position 50m'!D100&lt;&gt;"",'3-Position 50m'!M100&lt;&gt;""),1,0)</f>
        <v>0</v>
      </c>
    </row>
    <row r="301" customFormat="false" ht="15" hidden="false" customHeight="true" outlineLevel="0" collapsed="false">
      <c r="A301" s="83" t="n">
        <f aca="false">'3-Position 50m'!A101</f>
        <v>0</v>
      </c>
      <c r="B301" s="1" t="n">
        <f aca="false">'3-Position 50m'!C101</f>
        <v>0</v>
      </c>
      <c r="C301" s="1" t="n">
        <f aca="false">'3-Position 50m'!D101</f>
        <v>0</v>
      </c>
      <c r="D301" s="1" t="n">
        <f aca="false">'3-Position 50m'!E101</f>
        <v>0</v>
      </c>
      <c r="E301" s="1" t="n">
        <f aca="false">'3-Position 50m'!F101</f>
        <v>0</v>
      </c>
      <c r="F301" s="1" t="n">
        <f aca="false">IF('3-Position 50m'!M101="",0,'3-Position 50m'!M101)</f>
        <v>0</v>
      </c>
      <c r="G301" s="1" t="n">
        <f aca="false">IF('3-Position 50m'!N101="",0,'3-Position 50m'!N101)</f>
        <v>0</v>
      </c>
      <c r="H301" s="1" t="n">
        <f aca="false">IFERROR(YEAR('3-Position 50m'!A101),"")</f>
        <v>1899</v>
      </c>
      <c r="I301" s="1" t="n">
        <f aca="false">IF(AND('3-Position 50m'!D101&lt;&gt;"",'3-Position 50m'!M101&lt;&gt;""),1,0)</f>
        <v>0</v>
      </c>
    </row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2026-06-03T09:29:34Z</dcterms:created>
  <dc:creator>openpyxl</dc:creator>
  <dc:description/>
  <dc:language>en-US</dc:language>
  <cp:lastModifiedBy/>
  <dcterms:modified xsi:type="dcterms:W3CDTF">2026-06-08T18:08:31Z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